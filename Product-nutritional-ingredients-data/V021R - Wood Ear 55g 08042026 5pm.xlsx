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93" documentId="11_F4FADB397EBA160B5CD98F3930F60FB85446FEF6" xr6:coauthVersionLast="47" xr6:coauthVersionMax="47" xr10:uidLastSave="{88EED32E-42DE-4954-8D50-45AF37E8CCEC}"/>
  <bookViews>
    <workbookView xWindow="-110" yWindow="-110" windowWidth="25820" windowHeight="15380" tabRatio="926" activeTab="5" xr2:uid="{00000000-000D-0000-FFFF-FFFF00000000}"/>
  </bookViews>
  <sheets>
    <sheet name="1-5.Manufacturer &amp; product  (2" sheetId="14" r:id="rId1"/>
    <sheet name="6-8.Ingre&amp;Nutrition&amp;Allergens" sheetId="2" r:id="rId2"/>
    <sheet name="9-13.Quality Attributes  (2)" sheetId="15" r:id="rId3"/>
    <sheet name="14-16.Quantity&amp;packaging in (2" sheetId="16" r:id="rId4"/>
    <sheet name="17-20.HCCP,Artwork&amp;SpecAuthor." sheetId="5" r:id="rId5"/>
    <sheet name="21. Ecommerce" sheetId="13" r:id="rId6"/>
  </sheets>
  <definedNames>
    <definedName name="_xlnm.Print_Area" localSheetId="3">'14-16.Quantity&amp;packaging in (2'!$A$1:$E$30</definedName>
    <definedName name="_xlnm.Print_Area" localSheetId="0">'1-5.Manufacturer &amp; product  (2'!$A$1:$E$7</definedName>
    <definedName name="_xlnm.Print_Area" localSheetId="4">'17-20.HCCP,Artwork&amp;SpecAuthor.'!$A$1:$E$29</definedName>
    <definedName name="_xlnm.Print_Area" localSheetId="1">'6-8.Ingre&amp;Nutrition&amp;Allergens'!$A$1:$I$43</definedName>
    <definedName name="_xlnm.Print_Area" localSheetId="2">'9-13.Quality Attributes  (2)'!#REF!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2" l="1"/>
  <c r="D27" i="16"/>
  <c r="D28" i="16" s="1"/>
  <c r="B27" i="16"/>
  <c r="B28" i="16" s="1"/>
  <c r="D26" i="16"/>
  <c r="B26" i="16"/>
  <c r="B5" i="16"/>
  <c r="C5" i="16" s="1"/>
  <c r="C4" i="16"/>
  <c r="B29" i="16" l="1"/>
  <c r="D29" i="16"/>
  <c r="E5" i="2" l="1"/>
</calcChain>
</file>

<file path=xl/sharedStrings.xml><?xml version="1.0" encoding="utf-8"?>
<sst xmlns="http://schemas.openxmlformats.org/spreadsheetml/2006/main" count="466" uniqueCount="310">
  <si>
    <t>Outer case Barcode:</t>
  </si>
  <si>
    <t>Product Barcode:</t>
  </si>
  <si>
    <t>Name of Manufacturer:</t>
  </si>
  <si>
    <t>Address of Manufacturer:</t>
  </si>
  <si>
    <t>Primary：</t>
  </si>
  <si>
    <t>Secondary:</t>
  </si>
  <si>
    <t>Description/Color</t>
  </si>
  <si>
    <t>Weight 
(g)</t>
  </si>
  <si>
    <t xml:space="preserve">Dimensions
(mm)   </t>
  </si>
  <si>
    <t>Is the product packed in a Protective atmosphere?
(if yes, indicate the composition on gases used if applicable)</t>
  </si>
  <si>
    <t>Is the product vacuum packed?</t>
  </si>
  <si>
    <t>Primary Package Plastic Material Comply with Commission Regulation (EU) No 10/2011</t>
  </si>
  <si>
    <t>Yes</t>
  </si>
  <si>
    <t>Ingredients</t>
  </si>
  <si>
    <t>Components</t>
  </si>
  <si>
    <t>(if ingredient is composed of several sub-ingredients)</t>
  </si>
  <si>
    <t>Supplier Names</t>
  </si>
  <si>
    <t>(Please list all suppliers per ingredient)</t>
  </si>
  <si>
    <t>Country of Origin</t>
  </si>
  <si>
    <t>Total</t>
  </si>
  <si>
    <r>
      <t xml:space="preserve">(Please list the ingredients </t>
    </r>
    <r>
      <rPr>
        <b/>
        <sz val="8"/>
        <color theme="1"/>
        <rFont val="Calibri Light"/>
        <family val="2"/>
        <scheme val="major"/>
      </rPr>
      <t>in descending order</t>
    </r>
    <r>
      <rPr>
        <sz val="8"/>
        <color theme="1"/>
        <rFont val="Calibri Light"/>
        <family val="2"/>
        <scheme val="major"/>
      </rPr>
      <t>)</t>
    </r>
  </si>
  <si>
    <t>Potential Component</t>
  </si>
  <si>
    <t xml:space="preserve">Product contains? </t>
  </si>
  <si>
    <t xml:space="preserve">Risk of Cross Contamination </t>
  </si>
  <si>
    <t xml:space="preserve">in which ingredient? </t>
  </si>
  <si>
    <t>01</t>
  </si>
  <si>
    <t>02</t>
  </si>
  <si>
    <t>03</t>
  </si>
  <si>
    <t>04</t>
  </si>
  <si>
    <t>05</t>
  </si>
  <si>
    <t>06</t>
  </si>
  <si>
    <t>07</t>
  </si>
  <si>
    <t>08</t>
  </si>
  <si>
    <t>09</t>
  </si>
  <si>
    <t>10</t>
  </si>
  <si>
    <t>11</t>
  </si>
  <si>
    <t>12</t>
  </si>
  <si>
    <t>13</t>
  </si>
  <si>
    <t>14</t>
  </si>
  <si>
    <t>Crustaceans and products thereof:</t>
  </si>
  <si>
    <t>Egg and products thereof:</t>
  </si>
  <si>
    <t>Fish and products thereof:</t>
  </si>
  <si>
    <t>Peanuts and products thereof:</t>
  </si>
  <si>
    <t>Soybeans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</si>
  <si>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</si>
  <si>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</si>
  <si>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</si>
  <si>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</si>
  <si>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</si>
  <si>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</si>
  <si>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</si>
  <si>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Molluscs and products thereof:</t>
  </si>
  <si>
    <t>Typical Values</t>
  </si>
  <si>
    <t xml:space="preserve">Energy (Kcal/KJ) </t>
  </si>
  <si>
    <t>Fat</t>
  </si>
  <si>
    <t>Carbohydrate</t>
  </si>
  <si>
    <t>Protein</t>
  </si>
  <si>
    <t>Salt</t>
  </si>
  <si>
    <t xml:space="preserve">   of which sugar</t>
  </si>
  <si>
    <t xml:space="preserve">   of which saturate fat</t>
  </si>
  <si>
    <t>NOTE: Must attach lab analyses report</t>
  </si>
  <si>
    <t>Per 100g/100ml</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</si>
  <si>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</si>
  <si>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</si>
  <si>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</si>
  <si>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</si>
  <si>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</si>
  <si>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Global G.A.P.</t>
  </si>
  <si>
    <t>N/A</t>
  </si>
  <si>
    <t>Outer Case (Secondary)</t>
  </si>
  <si>
    <t>Cases per layer</t>
  </si>
  <si>
    <t>Number of layers</t>
  </si>
  <si>
    <t>Pallet Top-View</t>
  </si>
  <si>
    <t>EU Pallet Configuration 
(0.8m x 1.2m)</t>
  </si>
  <si>
    <t>UK Pallet Configuration 
(1.0m x 1.2m)</t>
  </si>
  <si>
    <t>Micro-organisms</t>
  </si>
  <si>
    <t>Type</t>
  </si>
  <si>
    <t>EU satisfactory in ready to eat</t>
  </si>
  <si>
    <t>Quality Indicator</t>
  </si>
  <si>
    <r>
      <t>&lt;10</t>
    </r>
    <r>
      <rPr>
        <vertAlign val="superscript"/>
        <sz val="11"/>
        <color theme="1"/>
        <rFont val="Arial"/>
        <family val="2"/>
      </rPr>
      <t>4</t>
    </r>
  </si>
  <si>
    <t>Hygiene indicator</t>
  </si>
  <si>
    <t>&lt;20</t>
  </si>
  <si>
    <t>&lt;100</t>
  </si>
  <si>
    <t>Not Detected</t>
  </si>
  <si>
    <t>Pathogens</t>
  </si>
  <si>
    <t>Vibrio parahaemolyticus</t>
  </si>
  <si>
    <r>
      <t>&lt;10</t>
    </r>
    <r>
      <rPr>
        <vertAlign val="superscript"/>
        <sz val="11"/>
        <color theme="1"/>
        <rFont val="Arial"/>
        <family val="2"/>
      </rPr>
      <t>3</t>
    </r>
  </si>
  <si>
    <t>&lt;10</t>
  </si>
  <si>
    <t>TVC</t>
  </si>
  <si>
    <t>Escherichia coli</t>
  </si>
  <si>
    <t>Enterobacteriaceae</t>
  </si>
  <si>
    <t>Listeria spp</t>
  </si>
  <si>
    <t>Listeria monocytogenes</t>
  </si>
  <si>
    <t>Campylobacter spp.</t>
  </si>
  <si>
    <t>Escherichia coli O157</t>
  </si>
  <si>
    <t>Salmonella spp.</t>
  </si>
  <si>
    <t xml:space="preserve">Shigella spp. </t>
  </si>
  <si>
    <t xml:space="preserve">Vibrio cholera (O1 and O139) </t>
  </si>
  <si>
    <t xml:space="preserve">Bacillus cereus </t>
  </si>
  <si>
    <t>Bacillus spp.</t>
  </si>
  <si>
    <t>Clostridium perfringens</t>
  </si>
  <si>
    <t>Staphylococcus aureus and other coagulase-positive staphylococci</t>
  </si>
  <si>
    <t>Inner Label / Package Design artwork</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</si>
  <si>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</si>
  <si>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</si>
  <si>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</si>
  <si>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Signature</t>
  </si>
  <si>
    <t>Print Name</t>
  </si>
  <si>
    <t>Position in Company</t>
  </si>
  <si>
    <t>Date</t>
  </si>
  <si>
    <t xml:space="preserve">The Basic ingredients team use only </t>
  </si>
  <si>
    <t>* Not Mandatory</t>
  </si>
  <si>
    <t>Test Frequency</t>
  </si>
  <si>
    <t>Cadmium(Cd)</t>
  </si>
  <si>
    <t>ND</t>
  </si>
  <si>
    <t>Gross Weight</t>
  </si>
  <si>
    <t>Net  Weight</t>
  </si>
  <si>
    <t>3.Dietary Requirements</t>
  </si>
  <si>
    <t xml:space="preserve">   of which monounsaturated fat*</t>
  </si>
  <si>
    <t xml:space="preserve">   of which Polyols*</t>
  </si>
  <si>
    <t xml:space="preserve">   of which starch*</t>
  </si>
  <si>
    <t>Fibre*</t>
  </si>
  <si>
    <t>*Please insert GB standard</t>
  </si>
  <si>
    <t>Pruchase UoM:</t>
  </si>
  <si>
    <t>TBI Product Code:</t>
  </si>
  <si>
    <t xml:space="preserve">   of which, polyunsaturated fat*</t>
  </si>
  <si>
    <t>g</t>
  </si>
  <si>
    <t>9.Pesticide residues &amp; Heavy Metal Standard</t>
  </si>
  <si>
    <t>Contry of Origin Standard</t>
  </si>
  <si>
    <t>Manufacturer Standard</t>
  </si>
  <si>
    <t>IE. Grading, Sizing, Appearance, Flavor/taste, Texture, Colour, smell</t>
  </si>
  <si>
    <t>Rejected Product Photo&amp; Description</t>
  </si>
  <si>
    <t>4.Shelf Life &amp; Storage Condition</t>
  </si>
  <si>
    <t>5.Instructions for Use</t>
  </si>
  <si>
    <t>*Please tick in the box</t>
  </si>
  <si>
    <t>6.Product Composition</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</si>
  <si>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</si>
  <si>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7.Nutritional Information</t>
  </si>
  <si>
    <t>8.The fourteen Allergens – Regulation (EU) No 1169/2011</t>
  </si>
  <si>
    <t>% 
Composition</t>
  </si>
  <si>
    <r>
      <t>Standard Product Photo</t>
    </r>
    <r>
      <rPr>
        <b/>
        <sz val="12"/>
        <color rgb="FF000000"/>
        <rFont val="Calibri Light"/>
        <family val="2"/>
        <scheme val="major"/>
      </rPr>
      <t xml:space="preserve"> &amp; Description </t>
    </r>
  </si>
  <si>
    <t>1.Product Gernal Description:</t>
  </si>
  <si>
    <t>Test Item</t>
  </si>
  <si>
    <t>*pallet height must lower than 1.85m</t>
  </si>
  <si>
    <t>Finished Product with Primary package</t>
  </si>
  <si>
    <t>Tertiary</t>
  </si>
  <si>
    <r>
      <t xml:space="preserve">Cereals containing gluten
</t>
    </r>
    <r>
      <rPr>
        <sz val="10"/>
        <color theme="1"/>
        <rFont val="Calibri Light"/>
        <family val="2"/>
        <scheme val="major"/>
      </rPr>
      <t>including wheat, Rye, Barley, Oats, Spelt &amp; Khorasan and products thereof:</t>
    </r>
  </si>
  <si>
    <t>10.Acrylamide</t>
  </si>
  <si>
    <t xml:space="preserve">Are Products at risk of acrylamide? </t>
  </si>
  <si>
    <t>Yes/No</t>
  </si>
  <si>
    <t>If Yes. What mitigation measures are in place to manage acrylamide levels with the food?</t>
  </si>
  <si>
    <t>EU MRL standard</t>
  </si>
  <si>
    <t xml:space="preserve">Has the product/ingredient been imported into the UK from a country that has high levels of radioactivity? </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</si>
  <si>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</si>
  <si>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</si>
  <si>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</si>
  <si>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</si>
  <si>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how is this controlled and what checks are carried out?</t>
  </si>
  <si>
    <t xml:space="preserve">              If yes, what controls in place</t>
  </si>
  <si>
    <t>12.Microbiology Standards</t>
  </si>
  <si>
    <t xml:space="preserve">14.Quantity Attributes </t>
  </si>
  <si>
    <t>15.Packaging Weight Dimensions</t>
  </si>
  <si>
    <t xml:space="preserve">16.Pallet Configuration </t>
  </si>
  <si>
    <r>
      <t xml:space="preserve">Unit Drained Weight
</t>
    </r>
    <r>
      <rPr>
        <sz val="10"/>
        <color theme="1"/>
        <rFont val="Calibri Light"/>
        <family val="2"/>
        <scheme val="major"/>
      </rPr>
      <t xml:space="preserve">(If Product contains liquid) </t>
    </r>
  </si>
  <si>
    <t>17.Process Flow Chart- (showing all CCPs)</t>
  </si>
  <si>
    <t>18.Critical Control Points</t>
  </si>
  <si>
    <t>19.Artwork</t>
  </si>
  <si>
    <t>Outer Label / Package Design artwork</t>
  </si>
  <si>
    <t>20.Packaging Photos</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</si>
  <si>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</si>
  <si>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</si>
  <si>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r>
      <t xml:space="preserve">Materials
</t>
    </r>
    <r>
      <rPr>
        <sz val="8"/>
        <color theme="1"/>
        <rFont val="Calibri Light"/>
        <family val="2"/>
        <scheme val="major"/>
      </rPr>
      <t>*please indicate the plastic material from below 01-07</t>
    </r>
  </si>
  <si>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</si>
  <si>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Sodium in mg x 2.5 /1000 = salt in g</t>
  </si>
  <si>
    <t>13.Acceptance and Rejection standard</t>
  </si>
  <si>
    <t>Selling Points</t>
  </si>
  <si>
    <t>No</t>
  </si>
  <si>
    <t>No</t>
    <phoneticPr fontId="32" type="noConversion"/>
  </si>
  <si>
    <t>Technical Manager</t>
  </si>
  <si>
    <t>請提供檢測報告</t>
  </si>
  <si>
    <t>0.8g</t>
    <phoneticPr fontId="32" type="noConversion"/>
  </si>
  <si>
    <t>0g</t>
    <phoneticPr fontId="32" type="noConversion"/>
  </si>
  <si>
    <t>73g</t>
    <phoneticPr fontId="32" type="noConversion"/>
  </si>
  <si>
    <t>30g</t>
    <phoneticPr fontId="32" type="noConversion"/>
  </si>
  <si>
    <t>10.8g</t>
    <phoneticPr fontId="32" type="noConversion"/>
  </si>
  <si>
    <t>0.07g</t>
    <phoneticPr fontId="32" type="noConversion"/>
  </si>
  <si>
    <t xml:space="preserve">Uniform shape and size, generally 1.5-2.5CM 
The external side is gray or brown, with bright colours 
The internal side is black 
The internal side is black Thicker, no yellow flakes 
Dryness is within 12% </t>
    <phoneticPr fontId="32" type="noConversion"/>
  </si>
  <si>
    <t xml:space="preserve">The size is larger than 3 cm 
The thickness is not enough, the surface ribs can be clearly seen 
The fungus is dirty, obviously soiled, and the color is not bright 
Yellow flakes 
Dryness is higher than 12%, easy to mold </t>
    <phoneticPr fontId="32" type="noConversion"/>
  </si>
  <si>
    <t>Kcal: 348
KJ:1454</t>
  </si>
  <si>
    <t>Name of Supplier:</t>
  </si>
  <si>
    <t>Genetically modified?</t>
  </si>
  <si>
    <t>Are Genetically Modified Organisms handled on manufacturing site?</t>
  </si>
  <si>
    <t>Is GMO free certificate available for the ingredients at GMO risk?</t>
  </si>
  <si>
    <t>Handled on manufacturing site?</t>
  </si>
  <si>
    <t>Mercury</t>
  </si>
  <si>
    <t>Moisture</t>
  </si>
  <si>
    <t>China</t>
    <phoneticPr fontId="31" type="noConversion"/>
  </si>
  <si>
    <t>NO</t>
  </si>
  <si>
    <t>n/a</t>
  </si>
  <si>
    <t>No</t>
    <phoneticPr fontId="29" type="noConversion"/>
  </si>
  <si>
    <t>All bottles, 
metal detector will be checked every hour.</t>
  </si>
  <si>
    <t>24 months</t>
  </si>
  <si>
    <t>source of protein : 10.8*17/1454=12.6% which is above 12%</t>
  </si>
  <si>
    <t xml:space="preserve">Scientific Name </t>
  </si>
  <si>
    <t>No.328, Jianchi West Road, Longquan City, Lishui City, Zhejiang, China</t>
    <phoneticPr fontId="31" type="noConversion"/>
  </si>
  <si>
    <t xml:space="preserve">2.Manufacturer Information </t>
  </si>
  <si>
    <t>ZHEJIANG JINHUA HAM IMPORT &amp; EXPORT CO., LTD</t>
    <phoneticPr fontId="32" type="noConversion"/>
  </si>
  <si>
    <t>TIANHE AGRICULTURAL GROUP</t>
    <phoneticPr fontId="31" type="noConversion"/>
  </si>
  <si>
    <t xml:space="preserve">GFSI Recoginised standard e.g. BRCGS, FSSC22000, IFS, etc.If certified indicate standards name,achieved grade and  attach the certificates &amp; reports </t>
  </si>
  <si>
    <t xml:space="preserve">FSSC </t>
  </si>
  <si>
    <t>SEDEX Member No.</t>
  </si>
  <si>
    <t>SEDEX SMETA Report
If a SMETA audit is conducted, please indicate the audit date here and attach the report</t>
  </si>
  <si>
    <t xml:space="preserve">Other accreditations </t>
  </si>
  <si>
    <t>Product suitable for :</t>
  </si>
  <si>
    <t>*Please choose Yes/No</t>
  </si>
  <si>
    <r>
      <t xml:space="preserve">Vegetarians </t>
    </r>
    <r>
      <rPr>
        <sz val="12"/>
        <color rgb="FFFF0000"/>
        <rFont val="Calibri Light"/>
        <family val="2"/>
        <scheme val="major"/>
      </rPr>
      <t>(Contains no animal product but may contain animal-derived ingredients, e.g Milk &amp; egg)</t>
    </r>
  </si>
  <si>
    <r>
      <t>Vegans</t>
    </r>
    <r>
      <rPr>
        <sz val="12"/>
        <color rgb="FFFF0000"/>
        <rFont val="Calibri Light"/>
        <family val="2"/>
        <scheme val="major"/>
      </rPr>
      <t xml:space="preserve"> (Contains no animal product and derived ingredients)</t>
    </r>
  </si>
  <si>
    <r>
      <t>Gluten Free</t>
    </r>
    <r>
      <rPr>
        <sz val="12"/>
        <color rgb="FFFF0000"/>
        <rFont val="Calibri Light"/>
        <family val="2"/>
        <scheme val="major"/>
      </rPr>
      <t xml:space="preserve"> ( Contains no Gluten in ingredients , low risk of cross contamination from the same site,under 20mg/kg)</t>
    </r>
  </si>
  <si>
    <t>Halal (check certificate scop)</t>
  </si>
  <si>
    <t>Kosher (check certificate scop)</t>
  </si>
  <si>
    <r>
      <t>Storage Condition:</t>
    </r>
    <r>
      <rPr>
        <b/>
        <sz val="12"/>
        <rFont val="Calibri Light"/>
        <family val="2"/>
        <scheme val="major"/>
      </rPr>
      <t xml:space="preserve"> Ambient produc</t>
    </r>
    <r>
      <rPr>
        <sz val="12"/>
        <rFont val="Calibri Light"/>
        <family val="2"/>
        <scheme val="major"/>
      </rPr>
      <t>t must include once opened how to store and consum within how many days /</t>
    </r>
    <r>
      <rPr>
        <b/>
        <sz val="12"/>
        <rFont val="Calibri Light"/>
        <family val="2"/>
        <scheme val="major"/>
      </rPr>
      <t>Frozen product</t>
    </r>
    <r>
      <rPr>
        <sz val="12"/>
        <rFont val="Calibri Light"/>
        <family val="2"/>
        <scheme val="major"/>
      </rPr>
      <t xml:space="preserve"> must include once defrosted temperature range (°C)  &amp; consum within how many days under chilled</t>
    </r>
  </si>
  <si>
    <t>Ambient. After open, keep in an air tight contianer and consume within 3 months before BBD.</t>
  </si>
  <si>
    <t>Total Shelf Life from Production</t>
  </si>
  <si>
    <t>Date Code Format/Best Before Date</t>
  </si>
  <si>
    <t>DD/MM/YYYY</t>
  </si>
  <si>
    <t>Soak dried shiitake mushrooms in a bowl of water for about two hours, during which they will absorb
water and expand to about 4 times of their original weight. Once rehydrated, drain the mushrooms
but dont discard the soaking liquid-its a flavourful stock that adds rich umami to your dishes. These
shiitake mushrooms are a versatile kitchen staple, perfect for soups, ramen, stir- fries and much more!</t>
  </si>
  <si>
    <t>12/55g</t>
    <phoneticPr fontId="32" type="noConversion"/>
  </si>
  <si>
    <t>V021R</t>
    <phoneticPr fontId="32" type="noConversion"/>
  </si>
  <si>
    <t>Auricularia heimuer</t>
    <phoneticPr fontId="32" type="noConversion"/>
  </si>
  <si>
    <t>TIANHE AGRICULTURAL GROUP</t>
    <phoneticPr fontId="31" type="noConversion"/>
  </si>
  <si>
    <t>Country of Origin MRL Standard</t>
  </si>
  <si>
    <t>14/07/2025 Lab</t>
  </si>
  <si>
    <t xml:space="preserve">Pesticide  </t>
  </si>
  <si>
    <t>Comply to REGULATION (EC) No 396/2005 MRL</t>
  </si>
  <si>
    <t>GB2763 MRL/GB7096-2014 National Food Safety Standard - Edible Fungi and Their Products</t>
  </si>
  <si>
    <t>Every Batch</t>
    <phoneticPr fontId="32" type="noConversion"/>
  </si>
  <si>
    <t>Result /Dry  weight</t>
  </si>
  <si>
    <t>Lead (Pb)</t>
  </si>
  <si>
    <t xml:space="preserve">≤0.30 mg/kg (wet weight) </t>
    <phoneticPr fontId="31" type="noConversion"/>
  </si>
  <si>
    <t xml:space="preserve">≤1.0 (mg/kg) </t>
    <phoneticPr fontId="31" type="noConversion"/>
  </si>
  <si>
    <t>Every Batch</t>
    <phoneticPr fontId="32" type="noConversion"/>
  </si>
  <si>
    <t xml:space="preserve">≤0.15 mg/kg (wet weight) </t>
  </si>
  <si>
    <t xml:space="preserve">≤0.5 (mg/kg) (wet weight) </t>
    <phoneticPr fontId="31" type="noConversion"/>
  </si>
  <si>
    <t>Every Batch</t>
    <phoneticPr fontId="32" type="noConversion"/>
  </si>
  <si>
    <t>0.626mg/kg</t>
  </si>
  <si>
    <t>0.05mg/kg (wet weight)</t>
  </si>
  <si>
    <t xml:space="preserve">≤0.1 (mg/kg)  </t>
    <phoneticPr fontId="31" type="noConversion"/>
  </si>
  <si>
    <t>Every Batch</t>
    <phoneticPr fontId="32" type="noConversion"/>
  </si>
  <si>
    <t>0.003mg</t>
  </si>
  <si>
    <t>Inorganic Arsenic</t>
  </si>
  <si>
    <t>≤0.5 (mg/kg),as inorganic arsenic</t>
    <phoneticPr fontId="31" type="noConversion"/>
  </si>
  <si>
    <t>0.252mg</t>
  </si>
  <si>
    <r>
      <t>≤</t>
    </r>
    <r>
      <rPr>
        <sz val="10"/>
        <color theme="1"/>
        <rFont val="Arial"/>
        <family val="2"/>
      </rPr>
      <t>13%</t>
    </r>
  </si>
  <si>
    <t>Every Batch</t>
    <phoneticPr fontId="32" type="noConversion"/>
  </si>
  <si>
    <t xml:space="preserve">Sulpher Dioxide </t>
  </si>
  <si>
    <t xml:space="preserve">100mg/kg </t>
  </si>
  <si>
    <t>50mg/kg</t>
  </si>
  <si>
    <t>10mg/kg</t>
  </si>
  <si>
    <t>Pesticide and heavy metal EU&amp;GB MRL refer to wet product weight</t>
  </si>
  <si>
    <t>No</t>
    <phoneticPr fontId="31" type="noConversion"/>
  </si>
  <si>
    <t>N/A</t>
    <phoneticPr fontId="31" type="noConversion"/>
  </si>
  <si>
    <t>No</t>
    <phoneticPr fontId="31" type="noConversion"/>
  </si>
  <si>
    <t>Unit (g)</t>
  </si>
  <si>
    <t>Case (kg)</t>
  </si>
  <si>
    <t>No</t>
    <phoneticPr fontId="32" type="noConversion"/>
  </si>
  <si>
    <t>No</t>
    <phoneticPr fontId="32" type="noConversion"/>
  </si>
  <si>
    <t>Yes</t>
    <phoneticPr fontId="32" type="noConversion"/>
  </si>
  <si>
    <t>Plastic Bottle with aluminum lid</t>
    <phoneticPr fontId="32" type="noConversion"/>
  </si>
  <si>
    <t>PETE</t>
    <phoneticPr fontId="32" type="noConversion"/>
  </si>
  <si>
    <t>D 70</t>
  </si>
  <si>
    <t>H 120</t>
  </si>
  <si>
    <t xml:space="preserve">Carton box </t>
    <phoneticPr fontId="32" type="noConversion"/>
  </si>
  <si>
    <t xml:space="preserve">Carton </t>
    <phoneticPr fontId="32" type="noConversion"/>
  </si>
  <si>
    <t>Length 290</t>
    <phoneticPr fontId="32" type="noConversion"/>
  </si>
  <si>
    <t>Width 220</t>
    <phoneticPr fontId="32" type="noConversion"/>
  </si>
  <si>
    <t>Height 130</t>
    <phoneticPr fontId="32" type="noConversion"/>
  </si>
  <si>
    <t xml:space="preserve"> </t>
    <phoneticPr fontId="32" type="noConversion"/>
  </si>
  <si>
    <t xml:space="preserve"> </t>
    <phoneticPr fontId="32" type="noConversion"/>
  </si>
  <si>
    <t xml:space="preserve"> </t>
    <phoneticPr fontId="32" type="noConversion"/>
  </si>
  <si>
    <t xml:space="preserve">CTNs/Pallet </t>
  </si>
  <si>
    <t>Pallet Height(M)</t>
  </si>
  <si>
    <t>Pallet Height incl pallet (M)</t>
  </si>
  <si>
    <t>Pallet Weight(kg)</t>
  </si>
  <si>
    <t xml:space="preserve">Receive raw material Store row material Soaking     Root cutting  Cleaning machine  Bubble cleaning Washing    Drying on the shelf  CCP1  Selection check Storage
 Selection check Packing Metal detectionCCP2BoxingWarehousing
</t>
    <phoneticPr fontId="32" type="noConversion"/>
  </si>
  <si>
    <t>CCP1</t>
    <phoneticPr fontId="32" type="noConversion"/>
  </si>
  <si>
    <t>Moisture control</t>
    <phoneticPr fontId="32" type="noConversion"/>
  </si>
  <si>
    <r>
      <t>≤</t>
    </r>
    <r>
      <rPr>
        <sz val="11"/>
        <color theme="1"/>
        <rFont val="Calibri Light"/>
        <family val="2"/>
        <scheme val="major"/>
      </rPr>
      <t>13%</t>
    </r>
    <phoneticPr fontId="32" type="noConversion"/>
  </si>
  <si>
    <t>Every batch</t>
    <phoneticPr fontId="32" type="noConversion"/>
  </si>
  <si>
    <t>CCP2</t>
    <phoneticPr fontId="32" type="noConversion"/>
  </si>
  <si>
    <t>Metal detect</t>
    <phoneticPr fontId="32" type="noConversion"/>
  </si>
  <si>
    <t>Fe: ≤1.0mm; Nfe: ≤1.5mm; Sus: ≤1.5mm</t>
    <phoneticPr fontId="32" type="noConversion"/>
  </si>
  <si>
    <t>John Jiang</t>
    <phoneticPr fontId="32" type="noConversion"/>
  </si>
  <si>
    <t>杜 一 静</t>
  </si>
  <si>
    <t>Emma Du</t>
  </si>
  <si>
    <t>Director</t>
  </si>
  <si>
    <t>06/03/2026 with Olivia</t>
  </si>
  <si>
    <t>Wood Ear Mushroom  55g</t>
  </si>
  <si>
    <t>Wood Ear Mushrooms</t>
  </si>
  <si>
    <t>17g</t>
  </si>
  <si>
    <t>Fibre in this Jar</t>
  </si>
  <si>
    <t>Fibre (g)</t>
  </si>
  <si>
    <t>mushroom(g)</t>
  </si>
  <si>
    <t>2g</t>
  </si>
  <si>
    <t>Website Item Description</t>
  </si>
  <si>
    <t>Emma Basic - Wood Ear Mushrooms 55g | Black Fungus | Crunchy Texture | Perfect for Stir Fries, Soups &amp; Asian Cooking</t>
  </si>
  <si>
    <r>
      <rPr>
        <b/>
        <sz val="11"/>
        <color theme="1"/>
        <rFont val="Futura Bk BT"/>
        <family val="2"/>
      </rPr>
      <t>HOW TO PREPARE:</t>
    </r>
    <r>
      <rPr>
        <sz val="11"/>
        <color theme="1"/>
        <rFont val="Futura Bk BT"/>
        <family val="2"/>
      </rPr>
      <t xml:space="preserve"> Soak until soft (~2 hrs) and it’s ready to cook! </t>
    </r>
  </si>
  <si>
    <r>
      <t xml:space="preserve">A KITCHEN CUPBOARD STAPLE: </t>
    </r>
    <r>
      <rPr>
        <sz val="11"/>
        <color theme="1"/>
        <rFont val="Futura Bk BT"/>
        <family val="2"/>
      </rPr>
      <t>Wood ear is a staple ingredient of many popular recipes. Easy to store and simple to use.</t>
    </r>
  </si>
  <si>
    <r>
      <t xml:space="preserve">TEXTURE: </t>
    </r>
    <r>
      <rPr>
        <sz val="11"/>
        <color theme="1"/>
        <rFont val="Calibri"/>
        <family val="2"/>
        <scheme val="minor"/>
      </rPr>
      <t xml:space="preserve"> Wood ear mushroom has a uniquely satisfying crunch that holds up beautifully through cooking — silky on the surface, crisp at the bite, adding a texture dimension to soups, stir-fries, and noodle dishes that nothing else quite replicates. Once you cook with it, you'll understand why it's been a staple of Asian kitchens for centuries.</t>
    </r>
  </si>
  <si>
    <r>
      <rPr>
        <b/>
        <sz val="11"/>
        <color theme="1"/>
        <rFont val="Futura Bk BT"/>
        <family val="2"/>
      </rPr>
      <t>VEGAN</t>
    </r>
    <r>
      <rPr>
        <sz val="11"/>
        <color theme="1"/>
        <rFont val="Futura Bk BT"/>
        <family val="2"/>
      </rPr>
      <t xml:space="preserve"> : Suitable for vegans.</t>
    </r>
  </si>
  <si>
    <r>
      <rPr>
        <b/>
        <sz val="11"/>
        <color theme="1"/>
        <rFont val="Futura Bk BT"/>
        <family val="2"/>
      </rPr>
      <t>HIGH FIBRE:</t>
    </r>
    <r>
      <rPr>
        <sz val="11"/>
        <color theme="1"/>
        <rFont val="Calibri"/>
        <family val="2"/>
        <scheme val="minor"/>
      </rPr>
      <t xml:space="preserve"> A natural source of fibre from a single, clean ingredient with no additives, no fillers. Achieve your daily fibre goal!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</si>
</sst>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00"/>
  </numFmts>
  <fonts count="43">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vertAlign val="superscript"/>
      <sz val="11"/>
      <color theme="1"/>
      <name val="Arial"/>
      <family val="2"/>
    </font>
    <font>
      <b/>
      <sz val="11"/>
      <color rgb="FF000000"/>
      <name val="Arial"/>
      <family val="2"/>
    </font>
    <font>
      <sz val="11"/>
      <color rgb="FFFF0000"/>
      <name val="Calibri Light"/>
      <family val="2"/>
      <scheme val="major"/>
    </font>
    <font>
      <b/>
      <sz val="9"/>
      <color theme="1"/>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0"/>
      <name val="Calibri"/>
      <family val="2"/>
      <scheme val="minor"/>
    </font>
    <font>
      <sz val="11"/>
      <color theme="1"/>
      <name val="Futura Bk BT"/>
      <family val="2"/>
    </font>
    <font>
      <b/>
      <sz val="11"/>
      <color rgb="FF000000"/>
      <name val="Futura Bk BT"/>
      <family val="2"/>
    </font>
    <font>
      <sz val="9"/>
      <name val="Calibri"/>
      <family val="3"/>
      <charset val="134"/>
      <scheme val="minor"/>
    </font>
    <font>
      <u/>
      <sz val="11"/>
      <color theme="10"/>
      <name val="Calibri"/>
      <family val="2"/>
      <scheme val="minor"/>
    </font>
    <font>
      <sz val="11"/>
      <color theme="1"/>
      <name val="Calibri Light"/>
      <family val="3"/>
      <charset val="134"/>
      <scheme val="major"/>
    </font>
    <font>
      <sz val="10"/>
      <color theme="1"/>
      <name val="Arial"/>
      <family val="2"/>
    </font>
    <font>
      <b/>
      <sz val="11"/>
      <color theme="1"/>
      <name val="Futura Bk BT"/>
      <family val="2"/>
    </font>
    <font>
      <sz val="12"/>
      <color rgb="FFFF0000"/>
      <name val="Calibri Light"/>
      <family val="2"/>
      <scheme val="major"/>
    </font>
    <font>
      <sz val="11"/>
      <name val="Calibri"/>
      <family val="2"/>
      <scheme val="minor"/>
    </font>
    <font>
      <sz val="11"/>
      <color theme="1"/>
      <name val="Calibri"/>
      <family val="2"/>
    </font>
    <font>
      <b/>
      <sz val="11"/>
      <color rgb="FFFF0000"/>
      <name val="Calibri Light"/>
      <family val="2"/>
      <scheme val="major"/>
    </font>
    <font>
      <sz val="11"/>
      <color theme="10"/>
      <name val="Calibri"/>
      <family val="2"/>
    </font>
    <font>
      <b/>
      <sz val="11"/>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3">
    <xf numFmtId="0" fontId="0" fillId="0" borderId="0"/>
    <xf numFmtId="0" fontId="28" fillId="0" borderId="0"/>
    <xf numFmtId="0" fontId="33" fillId="0" borderId="0" applyNumberFormat="0" applyFill="0" applyBorder="0" applyAlignment="0" applyProtection="0"/>
  </cellStyleXfs>
  <cellXfs count="213">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2" fillId="2" borderId="1" xfId="0" applyFont="1" applyFill="1" applyBorder="1" applyAlignment="1">
      <alignment vertical="center"/>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1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2" fillId="2" borderId="2" xfId="0" applyFont="1" applyFill="1" applyBorder="1" applyAlignment="1">
      <alignment horizontal="center" vertical="center" wrapText="1"/>
    </xf>
    <xf numFmtId="0" fontId="21" fillId="0" borderId="0" xfId="0" applyFont="1"/>
    <xf numFmtId="0" fontId="2" fillId="0" borderId="0" xfId="0" applyFont="1" applyAlignment="1">
      <alignment horizontal="left" vertical="center"/>
    </xf>
    <xf numFmtId="0" fontId="18" fillId="2" borderId="1" xfId="0" applyFont="1" applyFill="1" applyBorder="1" applyAlignment="1">
      <alignment vertical="center" wrapText="1"/>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10" fontId="11" fillId="0" borderId="1"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0"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0" xfId="0" applyFont="1" applyAlignment="1">
      <alignment vertical="center" wrapText="1"/>
    </xf>
    <xf numFmtId="0" fontId="12" fillId="0" borderId="0" xfId="0" applyFont="1" applyAlignment="1">
      <alignment vertical="center"/>
    </xf>
    <xf numFmtId="0" fontId="13" fillId="0" borderId="0" xfId="0" applyFont="1" applyAlignment="1">
      <alignment horizontal="left" vertical="center" wrapText="1"/>
    </xf>
    <xf numFmtId="10" fontId="2" fillId="0" borderId="1" xfId="0" applyNumberFormat="1" applyFont="1" applyBorder="1" applyAlignment="1">
      <alignment vertical="center"/>
    </xf>
    <xf numFmtId="0" fontId="2" fillId="0" borderId="1" xfId="0" applyFont="1" applyBorder="1" applyAlignment="1">
      <alignment horizontal="left" vertical="center" wrapText="1"/>
    </xf>
    <xf numFmtId="0" fontId="5" fillId="2" borderId="2"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25" fillId="2" borderId="4"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6" fillId="0" borderId="10" xfId="0" applyFont="1" applyBorder="1" applyAlignment="1">
      <alignment horizontal="left" wrapText="1"/>
    </xf>
    <xf numFmtId="0" fontId="1" fillId="2" borderId="1" xfId="0" applyFont="1" applyFill="1" applyBorder="1" applyAlignment="1">
      <alignment horizontal="left" wrapText="1"/>
    </xf>
    <xf numFmtId="0" fontId="6" fillId="0" borderId="0" xfId="0" applyFont="1" applyAlignment="1">
      <alignment horizontal="left" wrapText="1"/>
    </xf>
    <xf numFmtId="0" fontId="2" fillId="2" borderId="1" xfId="0" applyFont="1" applyFill="1" applyBorder="1" applyAlignment="1">
      <alignment horizontal="left" wrapText="1"/>
    </xf>
    <xf numFmtId="0" fontId="16" fillId="2" borderId="1" xfId="0" applyFont="1" applyFill="1" applyBorder="1" applyAlignment="1">
      <alignment horizontal="left" wrapText="1"/>
    </xf>
    <xf numFmtId="0" fontId="0" fillId="0" borderId="0" xfId="0" applyAlignment="1">
      <alignment horizontal="left" vertical="center"/>
    </xf>
    <xf numFmtId="0" fontId="1" fillId="2"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14" fontId="2" fillId="0" borderId="0" xfId="0" applyNumberFormat="1" applyFont="1" applyAlignment="1">
      <alignment horizontal="left" vertical="center" wrapText="1"/>
    </xf>
    <xf numFmtId="0" fontId="0" fillId="0" borderId="0" xfId="0" applyAlignment="1">
      <alignment horizontal="left"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4" fillId="0" borderId="1" xfId="0" applyFont="1" applyBorder="1" applyAlignment="1">
      <alignment horizontal="left" vertical="center" wrapText="1"/>
    </xf>
    <xf numFmtId="0" fontId="38" fillId="0" borderId="1" xfId="2" applyFont="1" applyFill="1" applyBorder="1" applyAlignment="1">
      <alignment horizontal="left" vertical="center" wrapText="1"/>
    </xf>
    <xf numFmtId="165" fontId="2" fillId="0" borderId="0" xfId="0" applyNumberFormat="1" applyFont="1" applyAlignment="1">
      <alignment horizontal="left" vertical="center" wrapText="1"/>
    </xf>
    <xf numFmtId="0" fontId="39" fillId="0" borderId="1" xfId="2" applyFont="1" applyFill="1" applyBorder="1" applyAlignment="1">
      <alignment horizontal="left" vertical="center" wrapText="1"/>
    </xf>
    <xf numFmtId="10" fontId="2" fillId="0" borderId="0" xfId="0" applyNumberFormat="1" applyFont="1" applyAlignment="1">
      <alignment horizontal="left" vertical="center" wrapText="1"/>
    </xf>
    <xf numFmtId="0" fontId="40" fillId="0" borderId="0" xfId="0" applyFont="1" applyAlignment="1">
      <alignment horizontal="left" vertical="center"/>
    </xf>
    <xf numFmtId="0" fontId="40" fillId="0" borderId="0" xfId="0" applyFont="1" applyAlignment="1">
      <alignment horizontal="left" vertical="center" wrapText="1"/>
    </xf>
    <xf numFmtId="0" fontId="41" fillId="0" borderId="0" xfId="2" applyFont="1" applyFill="1" applyBorder="1" applyAlignment="1">
      <alignment horizontal="center" vertical="center" wrapText="1"/>
    </xf>
    <xf numFmtId="0" fontId="6" fillId="0" borderId="0" xfId="0" applyFont="1" applyAlignment="1">
      <alignment wrapText="1"/>
    </xf>
    <xf numFmtId="0" fontId="2" fillId="0" borderId="0" xfId="0" applyFont="1" applyAlignment="1">
      <alignment wrapText="1"/>
    </xf>
    <xf numFmtId="0" fontId="0" fillId="0" borderId="0" xfId="0" applyAlignment="1">
      <alignment horizontal="left" wrapText="1"/>
    </xf>
    <xf numFmtId="0" fontId="2" fillId="0" borderId="1" xfId="0" applyFont="1" applyBorder="1" applyAlignment="1">
      <alignment horizontal="center" vertical="center" wrapText="1"/>
    </xf>
    <xf numFmtId="2" fontId="2" fillId="0" borderId="0" xfId="0" applyNumberFormat="1" applyFont="1" applyAlignment="1">
      <alignment vertical="center" wrapText="1"/>
    </xf>
    <xf numFmtId="0" fontId="12" fillId="0" borderId="0" xfId="0" applyFont="1"/>
    <xf numFmtId="0" fontId="12" fillId="0" borderId="0" xfId="0" applyFont="1" applyAlignment="1">
      <alignment horizontal="left" wrapText="1"/>
    </xf>
    <xf numFmtId="0" fontId="2" fillId="0" borderId="0" xfId="0" applyFont="1" applyAlignment="1">
      <alignment horizontal="right" vertical="center"/>
    </xf>
    <xf numFmtId="0" fontId="34" fillId="0" borderId="1" xfId="0" applyFont="1" applyBorder="1" applyAlignment="1">
      <alignment horizontal="left" vertical="center"/>
    </xf>
    <xf numFmtId="0" fontId="0" fillId="0" borderId="1" xfId="0" applyBorder="1" applyAlignment="1">
      <alignment horizontal="left" vertical="top" wrapText="1"/>
    </xf>
    <xf numFmtId="0" fontId="2" fillId="6" borderId="1" xfId="0" applyFont="1" applyFill="1" applyBorder="1" applyAlignment="1">
      <alignment horizontal="center" vertical="center"/>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14" fontId="2" fillId="3" borderId="5" xfId="0" applyNumberFormat="1" applyFont="1" applyFill="1" applyBorder="1" applyAlignment="1">
      <alignment horizontal="left" vertical="center" wrapText="1"/>
    </xf>
    <xf numFmtId="14" fontId="2" fillId="3" borderId="6" xfId="0" applyNumberFormat="1" applyFont="1" applyFill="1" applyBorder="1" applyAlignment="1">
      <alignment horizontal="left" vertical="center" wrapText="1"/>
    </xf>
    <xf numFmtId="14" fontId="2" fillId="3" borderId="7" xfId="0" applyNumberFormat="1" applyFont="1" applyFill="1" applyBorder="1" applyAlignment="1">
      <alignment horizontal="left" vertical="center" wrapText="1"/>
    </xf>
    <xf numFmtId="0" fontId="31" fillId="5" borderId="5" xfId="0" applyFont="1" applyFill="1" applyBorder="1" applyAlignment="1">
      <alignment horizontal="left" vertical="center" wrapText="1"/>
    </xf>
    <xf numFmtId="0" fontId="31" fillId="5" borderId="6"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5" fillId="0" borderId="5" xfId="0" applyFont="1" applyBorder="1" applyAlignment="1">
      <alignment horizontal="center" vertical="center" wrapText="1"/>
    </xf>
    <xf numFmtId="0" fontId="15" fillId="0" borderId="7" xfId="0" applyFont="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9" fontId="11" fillId="0" borderId="5" xfId="0" applyNumberFormat="1" applyFont="1" applyBorder="1" applyAlignment="1">
      <alignment horizontal="lef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9" xfId="0" applyFont="1" applyFill="1" applyBorder="1" applyAlignment="1">
      <alignment horizontal="center" vertical="center"/>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10" fontId="11" fillId="0" borderId="5" xfId="0" applyNumberFormat="1" applyFont="1" applyBorder="1" applyAlignment="1">
      <alignment horizontal="left" vertical="center" wrapText="1"/>
    </xf>
    <xf numFmtId="10" fontId="11" fillId="0" borderId="6" xfId="0" applyNumberFormat="1" applyFont="1" applyBorder="1" applyAlignment="1">
      <alignment horizontal="left" vertical="center" wrapText="1"/>
    </xf>
    <xf numFmtId="10" fontId="11" fillId="0" borderId="7" xfId="0" applyNumberFormat="1" applyFont="1" applyBorder="1" applyAlignment="1">
      <alignment horizontal="left" vertical="center" wrapText="1"/>
    </xf>
    <xf numFmtId="0" fontId="11" fillId="0" borderId="12" xfId="0" applyFont="1" applyBorder="1" applyAlignment="1">
      <alignment horizontal="left" wrapText="1"/>
    </xf>
    <xf numFmtId="0" fontId="11" fillId="0" borderId="9" xfId="0" applyFont="1" applyBorder="1" applyAlignment="1">
      <alignment horizontal="left" wrapText="1"/>
    </xf>
    <xf numFmtId="0" fontId="11" fillId="0" borderId="13" xfId="0" applyFont="1" applyBorder="1" applyAlignment="1">
      <alignment horizontal="left" wrapText="1"/>
    </xf>
    <xf numFmtId="0" fontId="11" fillId="0" borderId="8" xfId="0" applyFont="1" applyBorder="1" applyAlignment="1">
      <alignment horizontal="left" wrapText="1"/>
    </xf>
    <xf numFmtId="0" fontId="11" fillId="0" borderId="10" xfId="0" applyFont="1" applyBorder="1" applyAlignment="1">
      <alignment horizontal="left" wrapText="1"/>
    </xf>
    <xf numFmtId="0" fontId="11" fillId="0" borderId="14" xfId="0" applyFont="1" applyBorder="1" applyAlignment="1">
      <alignment horizontal="left" wrapText="1"/>
    </xf>
    <xf numFmtId="0" fontId="13" fillId="0" borderId="1" xfId="0" applyFont="1" applyBorder="1" applyAlignment="1">
      <alignment horizontal="left" wrapText="1"/>
    </xf>
    <xf numFmtId="0" fontId="2" fillId="0" borderId="1" xfId="0" applyFont="1" applyBorder="1" applyAlignment="1">
      <alignment horizontal="left" wrapText="1"/>
    </xf>
    <xf numFmtId="0" fontId="6" fillId="0" borderId="0" xfId="0" applyFont="1" applyAlignment="1">
      <alignment horizontal="left"/>
    </xf>
    <xf numFmtId="0" fontId="16" fillId="0" borderId="1" xfId="0" applyFont="1" applyBorder="1" applyAlignment="1">
      <alignment horizontal="left" wrapText="1"/>
    </xf>
    <xf numFmtId="164" fontId="2"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6" fillId="0" borderId="1" xfId="0" applyFont="1" applyBorder="1" applyAlignment="1">
      <alignment horizontal="left" vertical="center" wrapText="1"/>
    </xf>
    <xf numFmtId="0" fontId="26" fillId="0" borderId="8" xfId="0" applyFont="1" applyBorder="1" applyAlignment="1">
      <alignment horizontal="left" vertical="center" wrapText="1"/>
    </xf>
    <xf numFmtId="0" fontId="26" fillId="0" borderId="10" xfId="0" applyFont="1" applyBorder="1" applyAlignment="1">
      <alignment horizontal="left" vertical="center" wrapText="1"/>
    </xf>
    <xf numFmtId="0" fontId="26" fillId="0" borderId="14" xfId="0" applyFont="1" applyBorder="1" applyAlignment="1">
      <alignment horizontal="left" vertical="center"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2" borderId="1" xfId="0" applyFont="1" applyFill="1" applyBorder="1" applyAlignment="1">
      <alignment horizontal="right"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5" fillId="3" borderId="0" xfId="0" applyFont="1" applyFill="1" applyAlignment="1">
      <alignment horizontal="left" vertical="center" wrapText="1"/>
    </xf>
    <xf numFmtId="0" fontId="3" fillId="2" borderId="1" xfId="0" applyFont="1" applyFill="1" applyBorder="1" applyAlignment="1">
      <alignment horizontal="left" vertical="center" wrapText="1"/>
    </xf>
    <xf numFmtId="0" fontId="7" fillId="0" borderId="1" xfId="0" applyFont="1" applyBorder="1" applyAlignment="1">
      <alignment horizontal="left" vertical="top"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14" fontId="2" fillId="0" borderId="1" xfId="0" applyNumberFormat="1" applyFont="1" applyBorder="1" applyAlignment="1">
      <alignment horizontal="left" vertical="center" wrapText="1"/>
    </xf>
    <xf numFmtId="0" fontId="2" fillId="6" borderId="1" xfId="0" applyFont="1" applyFill="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4" fillId="2" borderId="1" xfId="0" applyFont="1" applyFill="1" applyBorder="1" applyAlignment="1">
      <alignment horizontal="center" vertical="center" wrapText="1"/>
    </xf>
    <xf numFmtId="0" fontId="2" fillId="6" borderId="5" xfId="0" applyFont="1" applyFill="1" applyBorder="1" applyAlignment="1">
      <alignment horizontal="center" vertical="center"/>
    </xf>
    <xf numFmtId="0" fontId="2" fillId="6" borderId="7" xfId="0" applyFont="1" applyFill="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0" fillId="0" borderId="0" xfId="0" applyAlignment="1">
      <alignment wrapText="1"/>
    </xf>
    <xf numFmtId="0" fontId="36" fillId="0" borderId="1" xfId="0" applyFont="1" applyBorder="1" applyAlignment="1">
      <alignment horizontal="left" vertical="center" wrapText="1"/>
    </xf>
    <xf numFmtId="0" fontId="42" fillId="0" borderId="0" xfId="0" applyFont="1" applyAlignment="1">
      <alignment wrapText="1"/>
    </xf>
    <xf numFmtId="0" fontId="42" fillId="0" borderId="1" xfId="0" applyFont="1" applyBorder="1" applyAlignment="1">
      <alignment wrapText="1"/>
    </xf>
    <xf numFmtId="0" fontId="0" fillId="0" borderId="1" xfId="0" applyBorder="1" applyAlignment="1">
      <alignment wrapText="1"/>
    </xf>
  </cellXfs>
  <cellStyles count="3">
    <cellStyle name="Hyperlink" xfId="2" builtinId="8"/>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157162</xdr:colOff>
      <xdr:row>7</xdr:row>
      <xdr:rowOff>157162</xdr:rowOff>
    </xdr:from>
    <xdr:to>
      <xdr:col>8</xdr:col>
      <xdr:colOff>585787</xdr:colOff>
      <xdr:row>19</xdr:row>
      <xdr:rowOff>59205</xdr:rowOff>
    </xdr:to>
    <xdr:pic>
      <xdr:nvPicPr>
        <xdr:cNvPr id="3" name="Picture 1">
          <a:extLst>
            <a:ext uri="{FF2B5EF4-FFF2-40B4-BE49-F238E27FC236}">
              <a16:creationId xmlns:a16="http://schemas.microsoft.com/office/drawing/2014/main" id="{CDC1DAA7-16EC-F1D1-E166-7A3311DB4A28}"/>
            </a:ext>
          </a:extLst>
        </xdr:cNvPr>
        <xdr:cNvPicPr>
          <a:picLocks noChangeAspect="1"/>
        </xdr:cNvPicPr>
      </xdr:nvPicPr>
      <xdr:blipFill>
        <a:blip xmlns:r="http://schemas.openxmlformats.org/officeDocument/2006/relationships" r:embed="rId1"/>
        <a:stretch>
          <a:fillRect/>
        </a:stretch>
      </xdr:blipFill>
      <xdr:spPr>
        <a:xfrm>
          <a:off x="5500687" y="2576512"/>
          <a:ext cx="3736975" cy="33119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76842</xdr:colOff>
      <xdr:row>39</xdr:row>
      <xdr:rowOff>76841</xdr:rowOff>
    </xdr:from>
    <xdr:to>
      <xdr:col>1</xdr:col>
      <xdr:colOff>217716</xdr:colOff>
      <xdr:row>39</xdr:row>
      <xdr:rowOff>1686018</xdr:rowOff>
    </xdr:to>
    <xdr:pic>
      <xdr:nvPicPr>
        <xdr:cNvPr id="6" name="图片 5" descr="好黑木耳">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6842" y="13190925"/>
          <a:ext cx="2061882" cy="1609177"/>
        </a:xfrm>
        <a:prstGeom prst="rect">
          <a:avLst/>
        </a:prstGeom>
      </xdr:spPr>
    </xdr:pic>
    <xdr:clientData/>
  </xdr:twoCellAnchor>
  <xdr:twoCellAnchor editAs="oneCell">
    <xdr:from>
      <xdr:col>2</xdr:col>
      <xdr:colOff>307362</xdr:colOff>
      <xdr:row>39</xdr:row>
      <xdr:rowOff>32017</xdr:rowOff>
    </xdr:from>
    <xdr:to>
      <xdr:col>3</xdr:col>
      <xdr:colOff>34452</xdr:colOff>
      <xdr:row>40</xdr:row>
      <xdr:rowOff>29443</xdr:rowOff>
    </xdr:to>
    <xdr:pic>
      <xdr:nvPicPr>
        <xdr:cNvPr id="7" name="图片 6" descr="差黑木耳">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3541060" y="13146101"/>
          <a:ext cx="2301240" cy="16879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2"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06536" y="5110844"/>
          <a:ext cx="303167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2676604</xdr:colOff>
      <xdr:row>28</xdr:row>
      <xdr:rowOff>236925</xdr:rowOff>
    </xdr:from>
    <xdr:to>
      <xdr:col>3</xdr:col>
      <xdr:colOff>856848</xdr:colOff>
      <xdr:row>31</xdr:row>
      <xdr:rowOff>166486</xdr:rowOff>
    </xdr:to>
    <xdr:pic>
      <xdr:nvPicPr>
        <xdr:cNvPr id="3" name="图片 2" descr="屏幕剪辑">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76604" y="7481368"/>
          <a:ext cx="3889801" cy="1818232"/>
        </a:xfrm>
        <a:prstGeom prst="rect">
          <a:avLst/>
        </a:prstGeom>
      </xdr:spPr>
    </xdr:pic>
    <xdr:clientData/>
  </xdr:twoCellAnchor>
  <xdr:twoCellAnchor editAs="oneCell">
    <xdr:from>
      <xdr:col>3</xdr:col>
      <xdr:colOff>858048</xdr:colOff>
      <xdr:row>28</xdr:row>
      <xdr:rowOff>243326</xdr:rowOff>
    </xdr:from>
    <xdr:to>
      <xdr:col>7</xdr:col>
      <xdr:colOff>205961</xdr:colOff>
      <xdr:row>31</xdr:row>
      <xdr:rowOff>140873</xdr:rowOff>
    </xdr:to>
    <xdr:pic>
      <xdr:nvPicPr>
        <xdr:cNvPr id="4" name="图片 3" descr="屏幕剪辑">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67605" y="7487769"/>
          <a:ext cx="3571570" cy="17862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xdr:col>
      <xdr:colOff>533400</xdr:colOff>
      <xdr:row>20</xdr:row>
      <xdr:rowOff>54552</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5900" y="8290560"/>
          <a:ext cx="533400" cy="299663"/>
        </a:xfrm>
        <a:prstGeom prst="rect">
          <a:avLst/>
        </a:prstGeom>
      </xdr:spPr>
    </xdr:pic>
    <xdr:clientData/>
  </xdr:twoCellAnchor>
  <xdr:twoCellAnchor editAs="oneCell">
    <xdr:from>
      <xdr:col>1</xdr:col>
      <xdr:colOff>0</xdr:colOff>
      <xdr:row>19</xdr:row>
      <xdr:rowOff>0</xdr:rowOff>
    </xdr:from>
    <xdr:to>
      <xdr:col>1</xdr:col>
      <xdr:colOff>533400</xdr:colOff>
      <xdr:row>20</xdr:row>
      <xdr:rowOff>57728</xdr:rowOff>
    </xdr:to>
    <xdr:pic>
      <xdr:nvPicPr>
        <xdr:cNvPr id="11" name="图片 10">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8929" y="7826829"/>
          <a:ext cx="533400" cy="3135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zoomScale="70" zoomScaleNormal="70" workbookViewId="0">
      <selection activeCell="O10" sqref="O10"/>
    </sheetView>
  </sheetViews>
  <sheetFormatPr defaultColWidth="9.36328125" defaultRowHeight="14.5"/>
  <cols>
    <col min="1" max="1" width="39.54296875" style="2" customWidth="1"/>
    <col min="2" max="2" width="11.36328125" style="2" customWidth="1"/>
    <col min="3" max="3" width="17.54296875" style="2" customWidth="1"/>
    <col min="4" max="4" width="15.54296875" style="2" customWidth="1"/>
    <col min="5" max="5" width="8.54296875" style="2" customWidth="1"/>
    <col min="6" max="6" width="26.36328125" style="2" customWidth="1"/>
    <col min="7" max="16384" width="9.36328125" style="2"/>
  </cols>
  <sheetData>
    <row r="1" spans="1:6" ht="30" customHeight="1">
      <c r="A1" s="38" t="s">
        <v>141</v>
      </c>
    </row>
    <row r="2" spans="1:6" ht="25.4" customHeight="1">
      <c r="A2" s="37" t="s">
        <v>169</v>
      </c>
      <c r="B2" s="164" t="s">
        <v>296</v>
      </c>
      <c r="C2" s="164"/>
      <c r="D2" s="164"/>
      <c r="E2" s="164"/>
      <c r="F2" s="58"/>
    </row>
    <row r="3" spans="1:6" ht="25.4" customHeight="1">
      <c r="A3" s="3" t="s">
        <v>203</v>
      </c>
      <c r="B3" s="165" t="s">
        <v>228</v>
      </c>
      <c r="C3" s="165"/>
      <c r="D3" s="165"/>
      <c r="E3" s="165"/>
    </row>
    <row r="4" spans="1:6" ht="25.4" customHeight="1">
      <c r="A4" s="3" t="s">
        <v>123</v>
      </c>
      <c r="B4" s="165" t="s">
        <v>226</v>
      </c>
      <c r="C4" s="165"/>
      <c r="D4" s="165"/>
      <c r="E4" s="165"/>
    </row>
    <row r="5" spans="1:6" ht="25.4" customHeight="1">
      <c r="A5" s="3" t="s">
        <v>124</v>
      </c>
      <c r="B5" s="165" t="s">
        <v>227</v>
      </c>
      <c r="C5" s="165"/>
      <c r="D5" s="165"/>
      <c r="E5" s="165"/>
    </row>
    <row r="6" spans="1:6" ht="25.4" customHeight="1">
      <c r="A6" s="3" t="s">
        <v>1</v>
      </c>
      <c r="B6" s="163">
        <v>5060740660747</v>
      </c>
      <c r="C6" s="163"/>
      <c r="D6" s="163"/>
      <c r="E6" s="163"/>
    </row>
    <row r="7" spans="1:6" ht="25.4" customHeight="1">
      <c r="A7" s="3" t="s">
        <v>0</v>
      </c>
      <c r="B7" s="163">
        <v>35060740660748</v>
      </c>
      <c r="C7" s="163"/>
      <c r="D7" s="163"/>
      <c r="E7" s="163"/>
    </row>
    <row r="8" spans="1:6" ht="30" customHeight="1">
      <c r="A8" s="72" t="s">
        <v>205</v>
      </c>
      <c r="B8" s="41"/>
      <c r="C8" s="41"/>
      <c r="D8" s="41"/>
      <c r="E8" s="41"/>
    </row>
    <row r="9" spans="1:6" ht="25.4" customHeight="1">
      <c r="A9" s="73" t="s">
        <v>189</v>
      </c>
      <c r="B9" s="160" t="s">
        <v>206</v>
      </c>
      <c r="C9" s="160"/>
      <c r="D9" s="160"/>
      <c r="E9" s="160"/>
    </row>
    <row r="10" spans="1:6" ht="25.4" customHeight="1">
      <c r="A10" s="73" t="s">
        <v>2</v>
      </c>
      <c r="B10" s="160" t="s">
        <v>207</v>
      </c>
      <c r="C10" s="160"/>
      <c r="D10" s="160"/>
      <c r="E10" s="160"/>
    </row>
    <row r="11" spans="1:6" ht="25.4" customHeight="1">
      <c r="A11" s="73" t="s">
        <v>3</v>
      </c>
      <c r="B11" s="160" t="s">
        <v>204</v>
      </c>
      <c r="C11" s="160"/>
      <c r="D11" s="160"/>
      <c r="E11" s="160"/>
    </row>
    <row r="12" spans="1:6" ht="25.4" customHeight="1">
      <c r="A12" s="73" t="s">
        <v>170</v>
      </c>
      <c r="B12" s="160" t="s">
        <v>68</v>
      </c>
      <c r="C12" s="160"/>
      <c r="D12" s="160"/>
      <c r="E12" s="160"/>
    </row>
    <row r="13" spans="1:6" ht="25.4" customHeight="1">
      <c r="A13" s="73" t="s">
        <v>208</v>
      </c>
      <c r="B13" s="160" t="s">
        <v>209</v>
      </c>
      <c r="C13" s="160"/>
      <c r="D13" s="160"/>
      <c r="E13" s="160"/>
    </row>
    <row r="14" spans="1:6" ht="25.4" customHeight="1">
      <c r="A14" s="73" t="s">
        <v>67</v>
      </c>
      <c r="B14" s="160" t="s">
        <v>176</v>
      </c>
      <c r="C14" s="160"/>
      <c r="D14" s="160"/>
      <c r="E14" s="160"/>
    </row>
    <row r="15" spans="1:6" ht="30" customHeight="1">
      <c r="A15" s="73" t="s">
        <v>210</v>
      </c>
      <c r="B15" s="160" t="s">
        <v>176</v>
      </c>
      <c r="C15" s="160"/>
      <c r="D15" s="160"/>
      <c r="E15" s="160"/>
    </row>
    <row r="16" spans="1:6" ht="25.4" customHeight="1">
      <c r="A16" s="73" t="s">
        <v>211</v>
      </c>
      <c r="B16" s="160" t="s">
        <v>176</v>
      </c>
      <c r="C16" s="160"/>
      <c r="D16" s="160"/>
      <c r="E16" s="160"/>
    </row>
    <row r="17" spans="1:6" ht="25.4" customHeight="1">
      <c r="A17" s="73" t="s">
        <v>212</v>
      </c>
      <c r="B17" s="160" t="s">
        <v>176</v>
      </c>
      <c r="C17" s="160"/>
      <c r="D17" s="160"/>
      <c r="E17" s="160"/>
    </row>
    <row r="18" spans="1:6" ht="25.4" customHeight="1">
      <c r="A18" s="74" t="s">
        <v>117</v>
      </c>
      <c r="B18" s="41"/>
      <c r="C18" s="41"/>
      <c r="D18" s="41"/>
      <c r="E18" s="41"/>
    </row>
    <row r="19" spans="1:6" s="39" customFormat="1" ht="30" customHeight="1">
      <c r="A19" s="75" t="s">
        <v>213</v>
      </c>
      <c r="B19" s="159" t="s">
        <v>214</v>
      </c>
      <c r="C19" s="159"/>
      <c r="D19" s="159"/>
      <c r="E19" s="159"/>
    </row>
    <row r="20" spans="1:6" ht="25.4" customHeight="1">
      <c r="A20" s="73" t="s">
        <v>215</v>
      </c>
      <c r="B20" s="160" t="s">
        <v>12</v>
      </c>
      <c r="C20" s="160"/>
      <c r="D20" s="160"/>
      <c r="E20" s="160"/>
    </row>
    <row r="21" spans="1:6" ht="25.4" customHeight="1">
      <c r="A21" s="73" t="s">
        <v>216</v>
      </c>
      <c r="B21" s="160" t="s">
        <v>12</v>
      </c>
      <c r="C21" s="160"/>
      <c r="D21" s="160"/>
      <c r="E21" s="160"/>
    </row>
    <row r="22" spans="1:6" ht="25.4" customHeight="1">
      <c r="A22" s="73" t="s">
        <v>217</v>
      </c>
      <c r="B22" s="160" t="s">
        <v>12</v>
      </c>
      <c r="C22" s="160"/>
      <c r="D22" s="160"/>
      <c r="E22" s="160"/>
    </row>
    <row r="23" spans="1:6" ht="25.4" customHeight="1">
      <c r="A23" s="73" t="s">
        <v>218</v>
      </c>
      <c r="B23" s="160" t="s">
        <v>176</v>
      </c>
      <c r="C23" s="160"/>
      <c r="D23" s="160"/>
      <c r="E23" s="160"/>
    </row>
    <row r="24" spans="1:6" s="39" customFormat="1" ht="30" customHeight="1">
      <c r="A24" s="73" t="s">
        <v>219</v>
      </c>
      <c r="B24" s="160" t="s">
        <v>176</v>
      </c>
      <c r="C24" s="160"/>
      <c r="D24" s="160"/>
      <c r="E24" s="160"/>
      <c r="F24" s="2"/>
    </row>
    <row r="25" spans="1:6" ht="18.5">
      <c r="A25" s="161" t="s">
        <v>132</v>
      </c>
      <c r="B25" s="161"/>
      <c r="C25" s="161"/>
      <c r="D25" s="41"/>
      <c r="E25" s="41"/>
    </row>
    <row r="26" spans="1:6" ht="93">
      <c r="A26" s="76" t="s">
        <v>220</v>
      </c>
      <c r="B26" s="162" t="s">
        <v>221</v>
      </c>
      <c r="C26" s="162"/>
      <c r="D26" s="162"/>
      <c r="E26" s="162"/>
    </row>
    <row r="27" spans="1:6" ht="15.5">
      <c r="A27" s="76" t="s">
        <v>222</v>
      </c>
      <c r="B27" s="162" t="s">
        <v>201</v>
      </c>
      <c r="C27" s="162"/>
      <c r="D27" s="162"/>
      <c r="E27" s="162"/>
    </row>
    <row r="28" spans="1:6" ht="15.5">
      <c r="A28" s="76" t="s">
        <v>223</v>
      </c>
      <c r="B28" s="162" t="s">
        <v>224</v>
      </c>
      <c r="C28" s="162"/>
      <c r="D28" s="162"/>
      <c r="E28" s="162"/>
    </row>
    <row r="29" spans="1:6" ht="18.5">
      <c r="A29" s="161" t="s">
        <v>133</v>
      </c>
      <c r="B29" s="161"/>
      <c r="C29" s="161"/>
      <c r="D29" s="41"/>
      <c r="E29" s="41"/>
    </row>
    <row r="30" spans="1:6">
      <c r="A30" s="153" t="s">
        <v>225</v>
      </c>
      <c r="B30" s="154"/>
      <c r="C30" s="154"/>
      <c r="D30" s="154"/>
      <c r="E30" s="155"/>
    </row>
    <row r="31" spans="1:6">
      <c r="A31" s="156"/>
      <c r="B31" s="157"/>
      <c r="C31" s="157"/>
      <c r="D31" s="157"/>
      <c r="E31" s="158"/>
    </row>
  </sheetData>
  <mergeCells count="27">
    <mergeCell ref="B7:E7"/>
    <mergeCell ref="B2:E2"/>
    <mergeCell ref="B3:E3"/>
    <mergeCell ref="B4:E4"/>
    <mergeCell ref="B5:E5"/>
    <mergeCell ref="B6:E6"/>
    <mergeCell ref="B17:E17"/>
    <mergeCell ref="B9:E9"/>
    <mergeCell ref="B10:E10"/>
    <mergeCell ref="B11:E11"/>
    <mergeCell ref="B12:E12"/>
    <mergeCell ref="B13:E13"/>
    <mergeCell ref="B14:E14"/>
    <mergeCell ref="B15:E15"/>
    <mergeCell ref="B16:E16"/>
    <mergeCell ref="A30:E31"/>
    <mergeCell ref="B19:E19"/>
    <mergeCell ref="B20:E20"/>
    <mergeCell ref="B21:E21"/>
    <mergeCell ref="B22:E22"/>
    <mergeCell ref="B23:E23"/>
    <mergeCell ref="B24:E24"/>
    <mergeCell ref="A25:C25"/>
    <mergeCell ref="B26:E26"/>
    <mergeCell ref="B27:E27"/>
    <mergeCell ref="B28:E28"/>
    <mergeCell ref="A29:C29"/>
  </mergeCells>
  <phoneticPr fontId="32" type="noConversion"/>
  <pageMargins left="0.39370078740157483" right="0.39370078740157483" top="0.94488188976377963" bottom="0.70866141732283472" header="0.31496062992125984" footer="0.31496062992125984"/>
  <pageSetup paperSize="9" scale="75" orientation="portrait" r:id="rId1"/>
  <headerFooter>
    <oddHeader>&amp;C&amp;G</oddHeader>
    <oddFooter>&amp;L&amp;"-,Bold"&amp;10Doc Name: Food Specification   Doc Number: BASIC-18   Version: V04   Issue Date: 11/02/2021
Issued By: Ling Hsuan Chiu   Authorised By: Emma Du&amp;R&amp;"-,Bold"&amp;10Confidential&amp;"-,Regular"
 &amp;D - 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43"/>
  <sheetViews>
    <sheetView topLeftCell="A11" workbookViewId="0">
      <selection activeCell="E22" sqref="E22"/>
    </sheetView>
  </sheetViews>
  <sheetFormatPr defaultColWidth="9" defaultRowHeight="14.5"/>
  <cols>
    <col min="1" max="1" width="3.6328125" style="2" customWidth="1"/>
    <col min="2" max="2" width="37" style="2" customWidth="1"/>
    <col min="3" max="3" width="12" style="2" customWidth="1"/>
    <col min="4" max="4" width="11.6328125" style="2" customWidth="1"/>
    <col min="5" max="5" width="16" style="2" customWidth="1"/>
    <col min="6" max="7" width="18" style="2" customWidth="1"/>
    <col min="8" max="8" width="11.36328125" style="2" customWidth="1"/>
    <col min="9" max="10" width="20.6328125" style="2" customWidth="1"/>
    <col min="11" max="16384" width="9" style="2"/>
  </cols>
  <sheetData>
    <row r="1" spans="1:10" ht="30" customHeight="1">
      <c r="A1" s="38" t="s">
        <v>135</v>
      </c>
      <c r="B1" s="38"/>
      <c r="C1" s="4"/>
    </row>
    <row r="2" spans="1:10" ht="30" customHeight="1">
      <c r="A2" s="135" t="s">
        <v>13</v>
      </c>
      <c r="B2" s="136"/>
      <c r="C2" s="135" t="s">
        <v>14</v>
      </c>
      <c r="D2" s="136"/>
      <c r="E2" s="21" t="s">
        <v>139</v>
      </c>
      <c r="F2" s="135" t="s">
        <v>16</v>
      </c>
      <c r="G2" s="146"/>
      <c r="H2" s="136"/>
      <c r="I2" s="144" t="s">
        <v>18</v>
      </c>
      <c r="J2" s="142" t="s">
        <v>190</v>
      </c>
    </row>
    <row r="3" spans="1:10" ht="35.15" customHeight="1">
      <c r="A3" s="139" t="s">
        <v>136</v>
      </c>
      <c r="B3" s="140"/>
      <c r="C3" s="139" t="s">
        <v>15</v>
      </c>
      <c r="D3" s="140"/>
      <c r="E3" s="36" t="s">
        <v>20</v>
      </c>
      <c r="F3" s="147" t="s">
        <v>17</v>
      </c>
      <c r="G3" s="148"/>
      <c r="H3" s="149"/>
      <c r="I3" s="145"/>
      <c r="J3" s="142"/>
    </row>
    <row r="4" spans="1:10" ht="30" customHeight="1">
      <c r="A4" s="137" t="s">
        <v>297</v>
      </c>
      <c r="B4" s="138"/>
      <c r="C4" s="141"/>
      <c r="D4" s="138"/>
      <c r="E4" s="44">
        <v>1</v>
      </c>
      <c r="F4" s="150" t="s">
        <v>229</v>
      </c>
      <c r="G4" s="151"/>
      <c r="H4" s="152"/>
      <c r="I4" s="15" t="s">
        <v>196</v>
      </c>
      <c r="J4" s="15" t="s">
        <v>197</v>
      </c>
    </row>
    <row r="5" spans="1:10" ht="15" customHeight="1">
      <c r="D5" s="6" t="s">
        <v>19</v>
      </c>
      <c r="E5" s="5">
        <f>SUM(E4:E4)</f>
        <v>1</v>
      </c>
      <c r="F5" s="5"/>
      <c r="G5" s="5"/>
    </row>
    <row r="6" spans="1:10" ht="25.5" customHeight="1">
      <c r="A6" s="127" t="s">
        <v>172</v>
      </c>
      <c r="B6" s="127"/>
      <c r="C6" s="127"/>
      <c r="D6" s="127"/>
      <c r="E6" s="127"/>
      <c r="F6" s="127"/>
      <c r="G6" s="127"/>
      <c r="H6" s="127"/>
      <c r="I6" s="127"/>
    </row>
    <row r="7" spans="1:10" ht="25.5" customHeight="1">
      <c r="A7" s="127"/>
      <c r="B7" s="127"/>
      <c r="C7" s="127"/>
      <c r="D7" s="127"/>
      <c r="E7" s="127"/>
      <c r="F7" s="127"/>
      <c r="G7" s="127"/>
      <c r="H7" s="127"/>
      <c r="I7" s="127"/>
    </row>
    <row r="8" spans="1:10" ht="25.5" customHeight="1">
      <c r="A8" s="51"/>
      <c r="B8" s="51"/>
      <c r="C8" s="22" t="s">
        <v>111</v>
      </c>
      <c r="D8" s="51"/>
      <c r="E8" s="51"/>
      <c r="F8" s="51"/>
      <c r="G8" s="51"/>
      <c r="H8" s="51"/>
      <c r="I8" s="51"/>
    </row>
    <row r="9" spans="1:10" ht="20.399999999999999" customHeight="1">
      <c r="A9" s="143" t="s">
        <v>191</v>
      </c>
      <c r="B9" s="143"/>
      <c r="C9" s="143"/>
      <c r="D9" s="143"/>
      <c r="E9" s="52" t="s">
        <v>197</v>
      </c>
      <c r="F9" s="51"/>
      <c r="G9" s="51"/>
      <c r="H9" s="51"/>
      <c r="I9" s="51"/>
    </row>
    <row r="10" spans="1:10" ht="17.149999999999999" customHeight="1">
      <c r="A10" s="143" t="s">
        <v>192</v>
      </c>
      <c r="B10" s="143"/>
      <c r="C10" s="143"/>
      <c r="D10" s="143"/>
      <c r="E10" s="52" t="s">
        <v>197</v>
      </c>
      <c r="F10" s="51"/>
      <c r="G10" s="51"/>
      <c r="H10" s="51"/>
      <c r="I10" s="51"/>
    </row>
    <row r="11" spans="1:10" ht="25.5" customHeight="1">
      <c r="A11" s="51"/>
      <c r="B11" s="51"/>
      <c r="C11" s="22"/>
      <c r="D11" s="51"/>
      <c r="E11" s="51"/>
      <c r="F11" s="51"/>
      <c r="G11" s="51"/>
      <c r="H11" s="51"/>
      <c r="I11" s="51"/>
    </row>
    <row r="12" spans="1:10" ht="30" customHeight="1">
      <c r="A12" s="38" t="s">
        <v>137</v>
      </c>
      <c r="B12" s="7"/>
    </row>
    <row r="13" spans="1:10" ht="20.149999999999999" customHeight="1">
      <c r="A13" s="128" t="s">
        <v>52</v>
      </c>
      <c r="B13" s="129"/>
      <c r="C13" s="128" t="s">
        <v>61</v>
      </c>
      <c r="D13" s="129"/>
    </row>
    <row r="14" spans="1:10" ht="30.9" customHeight="1">
      <c r="A14" s="125" t="s">
        <v>53</v>
      </c>
      <c r="B14" s="126"/>
      <c r="C14" s="121" t="s">
        <v>188</v>
      </c>
      <c r="D14" s="122"/>
    </row>
    <row r="15" spans="1:10" ht="20.149999999999999" customHeight="1">
      <c r="A15" s="125" t="s">
        <v>54</v>
      </c>
      <c r="B15" s="126"/>
      <c r="C15" s="121" t="s">
        <v>180</v>
      </c>
      <c r="D15" s="122"/>
    </row>
    <row r="16" spans="1:10" ht="20.149999999999999" customHeight="1">
      <c r="A16" s="123" t="s">
        <v>59</v>
      </c>
      <c r="B16" s="124"/>
      <c r="C16" s="121" t="s">
        <v>181</v>
      </c>
      <c r="D16" s="122"/>
    </row>
    <row r="17" spans="1:12" ht="20.149999999999999" customHeight="1">
      <c r="A17" s="123" t="s">
        <v>118</v>
      </c>
      <c r="B17" s="124"/>
      <c r="C17" s="121" t="s">
        <v>126</v>
      </c>
      <c r="D17" s="122"/>
    </row>
    <row r="18" spans="1:12" ht="20.149999999999999" customHeight="1">
      <c r="A18" s="123" t="s">
        <v>125</v>
      </c>
      <c r="B18" s="124"/>
      <c r="C18" s="121" t="s">
        <v>126</v>
      </c>
      <c r="D18" s="122"/>
    </row>
    <row r="19" spans="1:12" ht="20.149999999999999" customHeight="1">
      <c r="A19" s="125" t="s">
        <v>55</v>
      </c>
      <c r="B19" s="126"/>
      <c r="C19" s="121" t="s">
        <v>182</v>
      </c>
      <c r="D19" s="122"/>
      <c r="H19" s="1" t="s">
        <v>300</v>
      </c>
      <c r="I19" s="1">
        <v>30</v>
      </c>
      <c r="J19" s="1">
        <f>I19/100*J20</f>
        <v>16.5</v>
      </c>
      <c r="K19" s="2" t="s">
        <v>298</v>
      </c>
      <c r="L19" s="2" t="s">
        <v>299</v>
      </c>
    </row>
    <row r="20" spans="1:12" ht="19.5" customHeight="1">
      <c r="A20" s="123" t="s">
        <v>58</v>
      </c>
      <c r="B20" s="124"/>
      <c r="C20" s="121" t="s">
        <v>302</v>
      </c>
      <c r="D20" s="122"/>
      <c r="H20" s="1" t="s">
        <v>301</v>
      </c>
      <c r="I20" s="1">
        <v>100</v>
      </c>
      <c r="J20" s="1">
        <v>55</v>
      </c>
    </row>
    <row r="21" spans="1:12" ht="20.149999999999999" customHeight="1">
      <c r="A21" s="123" t="s">
        <v>119</v>
      </c>
      <c r="B21" s="124"/>
      <c r="C21" s="121" t="s">
        <v>126</v>
      </c>
      <c r="D21" s="122"/>
    </row>
    <row r="22" spans="1:12" ht="20.149999999999999" customHeight="1">
      <c r="A22" s="123" t="s">
        <v>120</v>
      </c>
      <c r="B22" s="124"/>
      <c r="C22" s="121" t="s">
        <v>126</v>
      </c>
      <c r="D22" s="122"/>
    </row>
    <row r="23" spans="1:12" ht="20.149999999999999" customHeight="1">
      <c r="A23" s="125" t="s">
        <v>121</v>
      </c>
      <c r="B23" s="126"/>
      <c r="C23" s="133" t="s">
        <v>183</v>
      </c>
      <c r="D23" s="134"/>
    </row>
    <row r="24" spans="1:12" ht="20.149999999999999" customHeight="1">
      <c r="A24" s="125" t="s">
        <v>56</v>
      </c>
      <c r="B24" s="126"/>
      <c r="C24" s="121" t="s">
        <v>184</v>
      </c>
      <c r="D24" s="122"/>
      <c r="E24" s="2" t="s">
        <v>202</v>
      </c>
    </row>
    <row r="25" spans="1:12" ht="20.149999999999999" customHeight="1">
      <c r="A25" s="125" t="s">
        <v>57</v>
      </c>
      <c r="B25" s="126"/>
      <c r="C25" s="121" t="s">
        <v>185</v>
      </c>
      <c r="D25" s="122"/>
      <c r="E25" s="19" t="s">
        <v>173</v>
      </c>
      <c r="F25" s="18"/>
      <c r="G25" s="18"/>
      <c r="H25" s="18"/>
      <c r="I25" s="18"/>
      <c r="J25" s="18"/>
      <c r="K25" s="18"/>
    </row>
    <row r="26" spans="1:12" ht="20.149999999999999" customHeight="1">
      <c r="A26" s="20" t="s">
        <v>60</v>
      </c>
      <c r="B26" s="19"/>
      <c r="C26" s="50" t="s">
        <v>179</v>
      </c>
      <c r="E26" s="18"/>
      <c r="F26" s="18"/>
      <c r="G26" s="18"/>
      <c r="H26" s="18"/>
      <c r="I26" s="18"/>
      <c r="J26" s="18"/>
      <c r="K26" s="18"/>
    </row>
    <row r="27" spans="1:12" ht="30" customHeight="1">
      <c r="A27" s="38" t="s">
        <v>138</v>
      </c>
      <c r="B27" s="4"/>
      <c r="C27" s="4"/>
      <c r="D27" s="4"/>
    </row>
    <row r="28" spans="1:12" ht="30" customHeight="1">
      <c r="A28" s="116"/>
      <c r="B28" s="118" t="s">
        <v>21</v>
      </c>
      <c r="C28" s="119"/>
      <c r="D28" s="120"/>
      <c r="E28" s="26" t="s">
        <v>22</v>
      </c>
      <c r="F28" s="27" t="s">
        <v>24</v>
      </c>
      <c r="G28" s="27" t="s">
        <v>193</v>
      </c>
      <c r="H28" s="27" t="s">
        <v>23</v>
      </c>
    </row>
    <row r="29" spans="1:12" ht="15" customHeight="1">
      <c r="A29" s="117"/>
      <c r="B29" s="130" t="s">
        <v>134</v>
      </c>
      <c r="C29" s="131"/>
      <c r="D29" s="132"/>
      <c r="E29" s="35" t="s">
        <v>149</v>
      </c>
      <c r="F29" s="35"/>
      <c r="G29" s="35" t="s">
        <v>149</v>
      </c>
      <c r="H29" s="35" t="s">
        <v>149</v>
      </c>
    </row>
    <row r="30" spans="1:12" ht="24.9" customHeight="1">
      <c r="A30" s="25" t="s">
        <v>25</v>
      </c>
      <c r="B30" s="113" t="s">
        <v>146</v>
      </c>
      <c r="C30" s="114"/>
      <c r="D30" s="115"/>
      <c r="E30" s="46" t="s">
        <v>177</v>
      </c>
      <c r="F30" s="46" t="s">
        <v>198</v>
      </c>
      <c r="G30" s="46" t="s">
        <v>199</v>
      </c>
      <c r="H30" s="46" t="s">
        <v>199</v>
      </c>
    </row>
    <row r="31" spans="1:12" ht="24.9" customHeight="1">
      <c r="A31" s="25" t="s">
        <v>26</v>
      </c>
      <c r="B31" s="113" t="s">
        <v>39</v>
      </c>
      <c r="C31" s="114"/>
      <c r="D31" s="115"/>
      <c r="E31" s="46" t="s">
        <v>177</v>
      </c>
      <c r="F31" s="46" t="s">
        <v>198</v>
      </c>
      <c r="G31" s="46" t="s">
        <v>199</v>
      </c>
      <c r="H31" s="46" t="s">
        <v>199</v>
      </c>
    </row>
    <row r="32" spans="1:12" ht="24.9" customHeight="1">
      <c r="A32" s="25" t="s">
        <v>27</v>
      </c>
      <c r="B32" s="113" t="s">
        <v>41</v>
      </c>
      <c r="C32" s="114"/>
      <c r="D32" s="115"/>
      <c r="E32" s="46" t="s">
        <v>176</v>
      </c>
      <c r="F32" s="46" t="s">
        <v>198</v>
      </c>
      <c r="G32" s="46" t="s">
        <v>199</v>
      </c>
      <c r="H32" s="46" t="s">
        <v>199</v>
      </c>
    </row>
    <row r="33" spans="1:8" ht="24.9" customHeight="1">
      <c r="A33" s="25" t="s">
        <v>28</v>
      </c>
      <c r="B33" s="113" t="s">
        <v>51</v>
      </c>
      <c r="C33" s="114"/>
      <c r="D33" s="115"/>
      <c r="E33" s="46" t="s">
        <v>177</v>
      </c>
      <c r="F33" s="46" t="s">
        <v>198</v>
      </c>
      <c r="G33" s="46" t="s">
        <v>199</v>
      </c>
      <c r="H33" s="46" t="s">
        <v>199</v>
      </c>
    </row>
    <row r="34" spans="1:8" ht="24.9" customHeight="1">
      <c r="A34" s="25" t="s">
        <v>29</v>
      </c>
      <c r="B34" s="113" t="s">
        <v>42</v>
      </c>
      <c r="C34" s="114"/>
      <c r="D34" s="115"/>
      <c r="E34" s="46" t="s">
        <v>176</v>
      </c>
      <c r="F34" s="46" t="s">
        <v>198</v>
      </c>
      <c r="G34" s="46" t="s">
        <v>199</v>
      </c>
      <c r="H34" s="46" t="s">
        <v>199</v>
      </c>
    </row>
    <row r="35" spans="1:8" ht="41.15" customHeight="1">
      <c r="A35" s="25" t="s">
        <v>30</v>
      </c>
      <c r="B35" s="113" t="s">
        <v>43</v>
      </c>
      <c r="C35" s="114"/>
      <c r="D35" s="115"/>
      <c r="E35" s="46" t="s">
        <v>177</v>
      </c>
      <c r="F35" s="46" t="s">
        <v>198</v>
      </c>
      <c r="G35" s="46" t="s">
        <v>199</v>
      </c>
      <c r="H35" s="46" t="s">
        <v>199</v>
      </c>
    </row>
    <row r="36" spans="1:8" ht="24.9" customHeight="1">
      <c r="A36" s="25" t="s">
        <v>31</v>
      </c>
      <c r="B36" s="113" t="s">
        <v>44</v>
      </c>
      <c r="C36" s="114"/>
      <c r="D36" s="115"/>
      <c r="E36" s="46" t="s">
        <v>177</v>
      </c>
      <c r="F36" s="46" t="s">
        <v>198</v>
      </c>
      <c r="G36" s="46" t="s">
        <v>199</v>
      </c>
      <c r="H36" s="46" t="s">
        <v>199</v>
      </c>
    </row>
    <row r="37" spans="1:8" ht="24.9" customHeight="1">
      <c r="A37" s="25" t="s">
        <v>32</v>
      </c>
      <c r="B37" s="113" t="s">
        <v>45</v>
      </c>
      <c r="C37" s="114"/>
      <c r="D37" s="115"/>
      <c r="E37" s="46" t="s">
        <v>176</v>
      </c>
      <c r="F37" s="46" t="s">
        <v>198</v>
      </c>
      <c r="G37" s="46" t="s">
        <v>199</v>
      </c>
      <c r="H37" s="46" t="s">
        <v>199</v>
      </c>
    </row>
    <row r="38" spans="1:8" ht="24.9" customHeight="1">
      <c r="A38" s="25" t="s">
        <v>33</v>
      </c>
      <c r="B38" s="113" t="s">
        <v>46</v>
      </c>
      <c r="C38" s="114"/>
      <c r="D38" s="115"/>
      <c r="E38" s="46" t="s">
        <v>176</v>
      </c>
      <c r="F38" s="46" t="s">
        <v>198</v>
      </c>
      <c r="G38" s="46" t="s">
        <v>199</v>
      </c>
      <c r="H38" s="46" t="s">
        <v>199</v>
      </c>
    </row>
    <row r="39" spans="1:8" ht="24.9" customHeight="1">
      <c r="A39" s="25" t="s">
        <v>34</v>
      </c>
      <c r="B39" s="113" t="s">
        <v>47</v>
      </c>
      <c r="C39" s="114"/>
      <c r="D39" s="115"/>
      <c r="E39" s="46" t="s">
        <v>176</v>
      </c>
      <c r="F39" s="46" t="s">
        <v>198</v>
      </c>
      <c r="G39" s="46" t="s">
        <v>199</v>
      </c>
      <c r="H39" s="46" t="s">
        <v>199</v>
      </c>
    </row>
    <row r="40" spans="1:8" ht="24.9" customHeight="1">
      <c r="A40" s="25" t="s">
        <v>35</v>
      </c>
      <c r="B40" s="113" t="s">
        <v>48</v>
      </c>
      <c r="C40" s="114"/>
      <c r="D40" s="115"/>
      <c r="E40" s="46" t="s">
        <v>176</v>
      </c>
      <c r="F40" s="46" t="s">
        <v>198</v>
      </c>
      <c r="G40" s="46" t="s">
        <v>199</v>
      </c>
      <c r="H40" s="46" t="s">
        <v>199</v>
      </c>
    </row>
    <row r="41" spans="1:8" ht="24.9" customHeight="1">
      <c r="A41" s="25" t="s">
        <v>36</v>
      </c>
      <c r="B41" s="113" t="s">
        <v>49</v>
      </c>
      <c r="C41" s="114"/>
      <c r="D41" s="115"/>
      <c r="E41" s="46" t="s">
        <v>176</v>
      </c>
      <c r="F41" s="46" t="s">
        <v>198</v>
      </c>
      <c r="G41" s="46" t="s">
        <v>199</v>
      </c>
      <c r="H41" s="46" t="s">
        <v>199</v>
      </c>
    </row>
    <row r="42" spans="1:8" ht="24.9" customHeight="1">
      <c r="A42" s="25" t="s">
        <v>37</v>
      </c>
      <c r="B42" s="113" t="s">
        <v>50</v>
      </c>
      <c r="C42" s="114"/>
      <c r="D42" s="115"/>
      <c r="E42" s="46" t="s">
        <v>176</v>
      </c>
      <c r="F42" s="46" t="s">
        <v>198</v>
      </c>
      <c r="G42" s="46" t="s">
        <v>199</v>
      </c>
      <c r="H42" s="46" t="s">
        <v>199</v>
      </c>
    </row>
    <row r="43" spans="1:8" ht="24.9" customHeight="1">
      <c r="A43" s="25" t="s">
        <v>38</v>
      </c>
      <c r="B43" s="113" t="s">
        <v>40</v>
      </c>
      <c r="C43" s="114"/>
      <c r="D43" s="115"/>
      <c r="E43" s="46" t="s">
        <v>176</v>
      </c>
      <c r="F43" s="46" t="s">
        <v>198</v>
      </c>
      <c r="G43" s="46" t="s">
        <v>199</v>
      </c>
      <c r="H43" s="46" t="s">
        <v>199</v>
      </c>
    </row>
  </sheetData>
  <mergeCells count="57">
    <mergeCell ref="J2:J3"/>
    <mergeCell ref="A9:D9"/>
    <mergeCell ref="A10:D10"/>
    <mergeCell ref="I2:I3"/>
    <mergeCell ref="F2:H2"/>
    <mergeCell ref="F3:H3"/>
    <mergeCell ref="F4:H4"/>
    <mergeCell ref="A13:B13"/>
    <mergeCell ref="A2:B2"/>
    <mergeCell ref="A4:B4"/>
    <mergeCell ref="A3:B3"/>
    <mergeCell ref="C2:D2"/>
    <mergeCell ref="C3:D3"/>
    <mergeCell ref="C4:D4"/>
    <mergeCell ref="A14:B14"/>
    <mergeCell ref="A6:I7"/>
    <mergeCell ref="C13:D13"/>
    <mergeCell ref="C14:D14"/>
    <mergeCell ref="B29:D29"/>
    <mergeCell ref="C15:D15"/>
    <mergeCell ref="C16:D16"/>
    <mergeCell ref="C17:D17"/>
    <mergeCell ref="A15:B15"/>
    <mergeCell ref="A16:B16"/>
    <mergeCell ref="A17:B17"/>
    <mergeCell ref="C18:D18"/>
    <mergeCell ref="C19:D19"/>
    <mergeCell ref="C20:D20"/>
    <mergeCell ref="C23:D23"/>
    <mergeCell ref="C24:D24"/>
    <mergeCell ref="C25:D25"/>
    <mergeCell ref="A18:B18"/>
    <mergeCell ref="A19:B19"/>
    <mergeCell ref="A20:B20"/>
    <mergeCell ref="C21:D21"/>
    <mergeCell ref="C22:D22"/>
    <mergeCell ref="A21:B21"/>
    <mergeCell ref="A22:B22"/>
    <mergeCell ref="A23:B23"/>
    <mergeCell ref="A24:B24"/>
    <mergeCell ref="A25:B25"/>
    <mergeCell ref="B42:D42"/>
    <mergeCell ref="B43:D43"/>
    <mergeCell ref="A28:A29"/>
    <mergeCell ref="B35:D35"/>
    <mergeCell ref="B36:D36"/>
    <mergeCell ref="B37:D37"/>
    <mergeCell ref="B38:D38"/>
    <mergeCell ref="B39:D39"/>
    <mergeCell ref="B40:D40"/>
    <mergeCell ref="B41:D41"/>
    <mergeCell ref="B32:D32"/>
    <mergeCell ref="B33:D33"/>
    <mergeCell ref="B34:D34"/>
    <mergeCell ref="B30:D30"/>
    <mergeCell ref="B31:D31"/>
    <mergeCell ref="B28:D28"/>
  </mergeCells>
  <phoneticPr fontId="32" type="noConversion"/>
  <pageMargins left="0.39370078740157483" right="0.39370078740157483" top="0.9055118110236221" bottom="0.74803149606299213" header="0.31496062992125984" footer="0.31496062992125984"/>
  <pageSetup paperSize="9" scale="63" orientation="portrait" r:id="rId1"/>
  <headerFooter>
    <oddHeader>&amp;C&amp;G</oddHeader>
    <oddFooter>&amp;L&amp;"-,Bold"&amp;10
Doc Name: Food Specification   Doc Number: BASIC-18   Version: V04   Issue Date: 11/02/2021
Issued By: Ling Hsuan Chiu   Authorised By: Emma Du&amp;R&amp;"-,Bold"&amp;10Confidential&amp;"-,Regular"
&amp;D - Page &amp;P of &amp;N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1"/>
  <sheetViews>
    <sheetView topLeftCell="A25" zoomScale="85" zoomScaleNormal="85" workbookViewId="0">
      <selection activeCell="H41" sqref="H41"/>
    </sheetView>
  </sheetViews>
  <sheetFormatPr defaultColWidth="9.08984375" defaultRowHeight="14.5"/>
  <cols>
    <col min="1" max="1" width="25.08984375" style="49" customWidth="1"/>
    <col min="2" max="2" width="17.08984375" style="49" customWidth="1"/>
    <col min="3" max="3" width="33.6328125" style="49" customWidth="1"/>
    <col min="4" max="5" width="17" style="49" customWidth="1"/>
    <col min="6" max="6" width="18.54296875" style="49" customWidth="1"/>
    <col min="7" max="7" width="14" style="49" customWidth="1"/>
    <col min="8" max="8" width="16.453125" style="49" customWidth="1"/>
    <col min="9" max="9" width="17" style="49" customWidth="1"/>
    <col min="10" max="10" width="14.08984375" style="49" customWidth="1"/>
    <col min="11" max="16384" width="9.08984375" style="49"/>
  </cols>
  <sheetData>
    <row r="1" spans="1:11" s="39" customFormat="1" ht="30" customHeight="1">
      <c r="A1" s="38" t="s">
        <v>127</v>
      </c>
      <c r="B1" s="38"/>
      <c r="C1" s="38"/>
      <c r="D1" s="38"/>
      <c r="E1" s="38"/>
      <c r="G1" s="77"/>
      <c r="H1" s="77"/>
      <c r="I1" s="77"/>
    </row>
    <row r="2" spans="1:11" ht="24.9" customHeight="1">
      <c r="A2" s="78" t="s">
        <v>142</v>
      </c>
      <c r="B2" s="78"/>
      <c r="C2" s="78" t="s">
        <v>151</v>
      </c>
      <c r="D2" s="71" t="s">
        <v>230</v>
      </c>
      <c r="E2" s="79" t="s">
        <v>112</v>
      </c>
      <c r="F2" s="80" t="s">
        <v>231</v>
      </c>
      <c r="G2" s="81"/>
      <c r="H2" s="81"/>
      <c r="I2" s="81"/>
    </row>
    <row r="3" spans="1:11" ht="47.4" customHeight="1">
      <c r="A3" s="82" t="s">
        <v>232</v>
      </c>
      <c r="B3" s="83"/>
      <c r="C3" s="83" t="s">
        <v>233</v>
      </c>
      <c r="D3" s="84" t="s">
        <v>234</v>
      </c>
      <c r="E3" s="53" t="s">
        <v>235</v>
      </c>
      <c r="F3" s="85" t="s">
        <v>236</v>
      </c>
      <c r="G3" s="81"/>
      <c r="H3" s="81"/>
      <c r="I3" s="81"/>
    </row>
    <row r="4" spans="1:11" ht="41.15" customHeight="1">
      <c r="A4" s="86" t="s">
        <v>237</v>
      </c>
      <c r="B4" s="53"/>
      <c r="C4" s="87" t="s">
        <v>238</v>
      </c>
      <c r="D4" s="53" t="s">
        <v>239</v>
      </c>
      <c r="E4" s="53" t="s">
        <v>240</v>
      </c>
      <c r="F4" s="85" t="s">
        <v>114</v>
      </c>
      <c r="G4" s="81"/>
      <c r="H4" s="81"/>
      <c r="I4" s="81"/>
    </row>
    <row r="5" spans="1:11" ht="30.65" customHeight="1">
      <c r="A5" s="86" t="s">
        <v>113</v>
      </c>
      <c r="B5" s="53"/>
      <c r="C5" s="87" t="s">
        <v>241</v>
      </c>
      <c r="D5" s="53" t="s">
        <v>242</v>
      </c>
      <c r="E5" s="53" t="s">
        <v>243</v>
      </c>
      <c r="F5" s="88" t="s">
        <v>244</v>
      </c>
      <c r="G5" s="81"/>
      <c r="H5" s="81"/>
      <c r="I5" s="81"/>
    </row>
    <row r="6" spans="1:11">
      <c r="A6" s="86" t="s">
        <v>194</v>
      </c>
      <c r="B6" s="53"/>
      <c r="C6" s="89" t="s">
        <v>245</v>
      </c>
      <c r="D6" s="53" t="s">
        <v>246</v>
      </c>
      <c r="E6" s="53" t="s">
        <v>247</v>
      </c>
      <c r="F6" s="85" t="s">
        <v>248</v>
      </c>
      <c r="G6" s="81"/>
      <c r="H6" s="81"/>
      <c r="I6" s="81"/>
    </row>
    <row r="7" spans="1:11" ht="30.65" customHeight="1">
      <c r="A7" s="86" t="s">
        <v>249</v>
      </c>
      <c r="B7" s="53"/>
      <c r="C7" s="89" t="s">
        <v>68</v>
      </c>
      <c r="D7" s="53" t="s">
        <v>250</v>
      </c>
      <c r="E7" s="53" t="s">
        <v>240</v>
      </c>
      <c r="F7" s="85" t="s">
        <v>251</v>
      </c>
      <c r="G7" s="81"/>
      <c r="H7" s="81"/>
      <c r="I7" s="81"/>
    </row>
    <row r="8" spans="1:11" ht="16.399999999999999" customHeight="1">
      <c r="A8" s="86" t="s">
        <v>195</v>
      </c>
      <c r="B8" s="53"/>
      <c r="C8" s="89" t="s">
        <v>68</v>
      </c>
      <c r="D8" s="53" t="s">
        <v>252</v>
      </c>
      <c r="E8" s="53" t="s">
        <v>253</v>
      </c>
      <c r="F8" s="90">
        <v>0.10199999999999999</v>
      </c>
      <c r="G8" s="81"/>
      <c r="H8" s="81"/>
      <c r="I8" s="81"/>
    </row>
    <row r="9" spans="1:11" ht="16.399999999999999" customHeight="1">
      <c r="A9" s="86" t="s">
        <v>254</v>
      </c>
      <c r="B9" s="53"/>
      <c r="C9" s="89" t="s">
        <v>255</v>
      </c>
      <c r="D9" s="53" t="s">
        <v>256</v>
      </c>
      <c r="E9" s="53" t="s">
        <v>235</v>
      </c>
      <c r="F9" s="85" t="s">
        <v>257</v>
      </c>
      <c r="G9" s="81"/>
      <c r="H9" s="81"/>
      <c r="I9" s="81"/>
    </row>
    <row r="10" spans="1:11" ht="16.399999999999999" customHeight="1">
      <c r="A10" s="91" t="s">
        <v>258</v>
      </c>
      <c r="B10" s="92"/>
      <c r="C10" s="93"/>
      <c r="D10" s="32"/>
      <c r="E10" s="32"/>
      <c r="G10" s="81"/>
      <c r="H10" s="81"/>
      <c r="I10" s="81"/>
    </row>
    <row r="11" spans="1:11" s="95" customFormat="1" ht="30" customHeight="1">
      <c r="A11" s="94" t="s">
        <v>147</v>
      </c>
      <c r="B11" s="94"/>
      <c r="C11" s="94"/>
      <c r="D11" s="94"/>
      <c r="E11" s="94"/>
      <c r="I11" s="96"/>
      <c r="J11" s="96"/>
    </row>
    <row r="12" spans="1:11" ht="24.9" customHeight="1">
      <c r="A12" s="63" t="s">
        <v>148</v>
      </c>
      <c r="B12" s="64"/>
      <c r="C12" s="64"/>
      <c r="D12" s="64"/>
      <c r="E12" s="65"/>
      <c r="F12" s="97" t="s">
        <v>259</v>
      </c>
      <c r="I12" s="81"/>
      <c r="J12" s="81"/>
    </row>
    <row r="13" spans="1:11" ht="24.9" customHeight="1">
      <c r="A13" s="63" t="s">
        <v>150</v>
      </c>
      <c r="B13" s="64"/>
      <c r="C13" s="64"/>
      <c r="D13" s="64"/>
      <c r="E13" s="65"/>
      <c r="F13" s="97" t="s">
        <v>260</v>
      </c>
      <c r="I13" s="81"/>
      <c r="J13" s="81"/>
    </row>
    <row r="14" spans="1:11" s="95" customFormat="1" ht="30" customHeight="1">
      <c r="A14" s="94" t="s">
        <v>153</v>
      </c>
      <c r="B14" s="58" t="s">
        <v>154</v>
      </c>
      <c r="C14" s="58"/>
      <c r="D14" s="58"/>
      <c r="E14" s="58"/>
      <c r="F14" s="58"/>
      <c r="I14" s="96"/>
      <c r="J14" s="96"/>
      <c r="K14" s="96"/>
    </row>
    <row r="15" spans="1:11" ht="24.9" customHeight="1">
      <c r="A15" s="55" t="s">
        <v>155</v>
      </c>
      <c r="B15" s="56"/>
      <c r="C15" s="56"/>
      <c r="D15" s="56"/>
      <c r="E15" s="57"/>
      <c r="F15" s="97" t="s">
        <v>261</v>
      </c>
      <c r="I15" s="81"/>
      <c r="J15" s="81"/>
      <c r="K15" s="81"/>
    </row>
    <row r="16" spans="1:11" ht="24.9" customHeight="1">
      <c r="A16" s="55" t="s">
        <v>156</v>
      </c>
      <c r="B16" s="56"/>
      <c r="C16" s="56" t="s">
        <v>149</v>
      </c>
      <c r="D16" s="56" t="s">
        <v>149</v>
      </c>
      <c r="E16" s="57" t="s">
        <v>149</v>
      </c>
      <c r="F16" s="97" t="s">
        <v>259</v>
      </c>
      <c r="I16" s="81"/>
      <c r="J16" s="81"/>
      <c r="K16" s="81"/>
    </row>
    <row r="17" spans="1:14" ht="24.9" customHeight="1">
      <c r="A17" s="55" t="s">
        <v>158</v>
      </c>
      <c r="B17" s="56"/>
      <c r="C17" s="56"/>
      <c r="D17" s="56"/>
      <c r="E17" s="57"/>
      <c r="F17" s="97" t="s">
        <v>68</v>
      </c>
      <c r="I17" s="81"/>
      <c r="J17" s="81"/>
      <c r="K17" s="81"/>
      <c r="N17" s="98"/>
    </row>
    <row r="18" spans="1:14" ht="24.9" customHeight="1">
      <c r="A18" s="55" t="s">
        <v>152</v>
      </c>
      <c r="B18" s="56"/>
      <c r="C18" s="56" t="s">
        <v>149</v>
      </c>
      <c r="D18" s="56" t="s">
        <v>149</v>
      </c>
      <c r="E18" s="57" t="s">
        <v>149</v>
      </c>
      <c r="F18" s="97" t="s">
        <v>259</v>
      </c>
      <c r="I18" s="81"/>
      <c r="J18" s="81"/>
      <c r="K18" s="81"/>
      <c r="N18" s="98"/>
    </row>
    <row r="19" spans="1:14" ht="24.9" customHeight="1">
      <c r="A19" s="55" t="s">
        <v>157</v>
      </c>
      <c r="B19" s="56"/>
      <c r="C19" s="56"/>
      <c r="D19" s="56"/>
      <c r="E19" s="57"/>
      <c r="F19" s="97" t="s">
        <v>68</v>
      </c>
      <c r="I19" s="81"/>
      <c r="J19" s="81"/>
      <c r="K19" s="81"/>
    </row>
    <row r="20" spans="1:14" s="39" customFormat="1" ht="30" customHeight="1">
      <c r="A20" s="38" t="s">
        <v>159</v>
      </c>
      <c r="B20" s="99" t="s">
        <v>122</v>
      </c>
      <c r="C20" s="99"/>
      <c r="D20" s="99"/>
      <c r="E20" s="38"/>
      <c r="F20" s="40"/>
      <c r="G20" s="40"/>
    </row>
    <row r="21" spans="1:14" ht="50.25" customHeight="1">
      <c r="A21" s="11" t="s">
        <v>75</v>
      </c>
      <c r="B21" s="11" t="s">
        <v>76</v>
      </c>
      <c r="C21" s="11" t="s">
        <v>77</v>
      </c>
      <c r="D21" s="12" t="s">
        <v>128</v>
      </c>
      <c r="E21" s="12" t="s">
        <v>129</v>
      </c>
      <c r="F21" s="12" t="s">
        <v>112</v>
      </c>
      <c r="G21" s="100"/>
    </row>
    <row r="22" spans="1:14" ht="24.9" customHeight="1">
      <c r="A22" s="24" t="s">
        <v>88</v>
      </c>
      <c r="B22" s="10" t="s">
        <v>78</v>
      </c>
      <c r="C22" s="8" t="s">
        <v>79</v>
      </c>
      <c r="D22" s="8" t="s">
        <v>68</v>
      </c>
      <c r="E22" s="8" t="s">
        <v>68</v>
      </c>
      <c r="F22" s="8" t="s">
        <v>68</v>
      </c>
      <c r="G22" s="95"/>
    </row>
    <row r="23" spans="1:14" ht="24.9" customHeight="1">
      <c r="A23" s="24" t="s">
        <v>89</v>
      </c>
      <c r="B23" s="10" t="s">
        <v>80</v>
      </c>
      <c r="C23" s="8" t="s">
        <v>81</v>
      </c>
      <c r="D23" s="8" t="s">
        <v>68</v>
      </c>
      <c r="E23" s="8" t="s">
        <v>68</v>
      </c>
      <c r="F23" s="8" t="s">
        <v>68</v>
      </c>
      <c r="G23" s="95"/>
    </row>
    <row r="24" spans="1:14" ht="24.9" customHeight="1">
      <c r="A24" s="24" t="s">
        <v>90</v>
      </c>
      <c r="B24" s="10" t="s">
        <v>80</v>
      </c>
      <c r="C24" s="8" t="s">
        <v>82</v>
      </c>
      <c r="D24" s="8" t="s">
        <v>68</v>
      </c>
      <c r="E24" s="8" t="s">
        <v>68</v>
      </c>
      <c r="F24" s="8" t="s">
        <v>68</v>
      </c>
      <c r="G24" s="95"/>
    </row>
    <row r="25" spans="1:14" ht="24.9" customHeight="1">
      <c r="A25" s="24" t="s">
        <v>91</v>
      </c>
      <c r="B25" s="10" t="s">
        <v>80</v>
      </c>
      <c r="C25" s="8" t="s">
        <v>83</v>
      </c>
      <c r="D25" s="8" t="s">
        <v>68</v>
      </c>
      <c r="E25" s="8" t="s">
        <v>68</v>
      </c>
      <c r="F25" s="8" t="s">
        <v>68</v>
      </c>
      <c r="G25" s="95"/>
    </row>
    <row r="26" spans="1:14" ht="24.9" customHeight="1">
      <c r="A26" s="24" t="s">
        <v>92</v>
      </c>
      <c r="B26" s="10" t="s">
        <v>84</v>
      </c>
      <c r="C26" s="8" t="s">
        <v>83</v>
      </c>
      <c r="D26" s="8" t="s">
        <v>68</v>
      </c>
      <c r="E26" s="8" t="s">
        <v>68</v>
      </c>
      <c r="F26" s="8" t="s">
        <v>68</v>
      </c>
      <c r="G26" s="95"/>
    </row>
    <row r="27" spans="1:14" ht="24.9" customHeight="1">
      <c r="A27" s="24" t="s">
        <v>93</v>
      </c>
      <c r="B27" s="10" t="s">
        <v>84</v>
      </c>
      <c r="C27" s="8" t="s">
        <v>83</v>
      </c>
      <c r="D27" s="8" t="s">
        <v>68</v>
      </c>
      <c r="E27" s="8" t="s">
        <v>68</v>
      </c>
      <c r="F27" s="8" t="s">
        <v>68</v>
      </c>
      <c r="G27" s="95"/>
    </row>
    <row r="28" spans="1:14" ht="24.9" customHeight="1">
      <c r="A28" s="24" t="s">
        <v>94</v>
      </c>
      <c r="B28" s="10" t="s">
        <v>84</v>
      </c>
      <c r="C28" s="8" t="s">
        <v>83</v>
      </c>
      <c r="D28" s="8" t="s">
        <v>68</v>
      </c>
      <c r="E28" s="8" t="s">
        <v>68</v>
      </c>
      <c r="F28" s="8" t="s">
        <v>68</v>
      </c>
      <c r="G28" s="95"/>
    </row>
    <row r="29" spans="1:14" ht="24.9" customHeight="1">
      <c r="A29" s="24" t="s">
        <v>95</v>
      </c>
      <c r="B29" s="10" t="s">
        <v>84</v>
      </c>
      <c r="C29" s="8" t="s">
        <v>83</v>
      </c>
      <c r="D29" s="8" t="s">
        <v>68</v>
      </c>
      <c r="E29" s="8" t="s">
        <v>68</v>
      </c>
      <c r="F29" s="8" t="s">
        <v>68</v>
      </c>
      <c r="G29" s="95"/>
    </row>
    <row r="30" spans="1:14" ht="24.9" customHeight="1">
      <c r="A30" s="24" t="s">
        <v>96</v>
      </c>
      <c r="B30" s="10" t="s">
        <v>84</v>
      </c>
      <c r="C30" s="8" t="s">
        <v>83</v>
      </c>
      <c r="D30" s="8" t="s">
        <v>68</v>
      </c>
      <c r="E30" s="8" t="s">
        <v>68</v>
      </c>
      <c r="F30" s="8" t="s">
        <v>68</v>
      </c>
      <c r="G30" s="95"/>
    </row>
    <row r="31" spans="1:14" ht="24.9" customHeight="1">
      <c r="A31" s="24" t="s">
        <v>97</v>
      </c>
      <c r="B31" s="10" t="s">
        <v>84</v>
      </c>
      <c r="C31" s="8" t="s">
        <v>83</v>
      </c>
      <c r="D31" s="8" t="s">
        <v>68</v>
      </c>
      <c r="E31" s="8" t="s">
        <v>68</v>
      </c>
      <c r="F31" s="8" t="s">
        <v>68</v>
      </c>
      <c r="G31" s="95"/>
    </row>
    <row r="32" spans="1:14" ht="24.9" customHeight="1">
      <c r="A32" s="24" t="s">
        <v>85</v>
      </c>
      <c r="B32" s="10" t="s">
        <v>84</v>
      </c>
      <c r="C32" s="8" t="s">
        <v>81</v>
      </c>
      <c r="D32" s="8" t="s">
        <v>68</v>
      </c>
      <c r="E32" s="8" t="s">
        <v>68</v>
      </c>
      <c r="F32" s="8" t="s">
        <v>68</v>
      </c>
      <c r="G32" s="95"/>
    </row>
    <row r="33" spans="1:7" ht="24.9" customHeight="1">
      <c r="A33" s="24" t="s">
        <v>98</v>
      </c>
      <c r="B33" s="10" t="s">
        <v>84</v>
      </c>
      <c r="C33" s="8" t="s">
        <v>86</v>
      </c>
      <c r="D33" s="8" t="s">
        <v>68</v>
      </c>
      <c r="E33" s="8" t="s">
        <v>68</v>
      </c>
      <c r="F33" s="8" t="s">
        <v>68</v>
      </c>
      <c r="G33" s="95"/>
    </row>
    <row r="34" spans="1:7" ht="24.9" customHeight="1">
      <c r="A34" s="24" t="s">
        <v>99</v>
      </c>
      <c r="B34" s="10" t="s">
        <v>84</v>
      </c>
      <c r="C34" s="8" t="s">
        <v>86</v>
      </c>
      <c r="D34" s="8" t="s">
        <v>68</v>
      </c>
      <c r="E34" s="8" t="s">
        <v>68</v>
      </c>
      <c r="F34" s="8" t="s">
        <v>68</v>
      </c>
      <c r="G34" s="95"/>
    </row>
    <row r="35" spans="1:7" ht="24.9" customHeight="1">
      <c r="A35" s="24" t="s">
        <v>100</v>
      </c>
      <c r="B35" s="10" t="s">
        <v>84</v>
      </c>
      <c r="C35" s="8" t="s">
        <v>87</v>
      </c>
      <c r="D35" s="8" t="s">
        <v>68</v>
      </c>
      <c r="E35" s="8" t="s">
        <v>68</v>
      </c>
      <c r="F35" s="8" t="s">
        <v>68</v>
      </c>
      <c r="G35" s="95"/>
    </row>
    <row r="36" spans="1:7" ht="24.9" customHeight="1">
      <c r="A36" s="24" t="s">
        <v>101</v>
      </c>
      <c r="B36" s="10" t="s">
        <v>84</v>
      </c>
      <c r="C36" s="8" t="s">
        <v>81</v>
      </c>
      <c r="D36" s="8" t="s">
        <v>68</v>
      </c>
      <c r="E36" s="8" t="s">
        <v>68</v>
      </c>
      <c r="F36" s="8" t="s">
        <v>68</v>
      </c>
      <c r="G36" s="95"/>
    </row>
    <row r="37" spans="1:7" s="39" customFormat="1" ht="30" customHeight="1">
      <c r="A37" s="38" t="s">
        <v>174</v>
      </c>
      <c r="B37" s="38"/>
      <c r="C37" s="38"/>
      <c r="E37" s="41"/>
    </row>
    <row r="38" spans="1:7" ht="31">
      <c r="A38" s="54" t="s">
        <v>140</v>
      </c>
      <c r="B38" s="54"/>
      <c r="C38" s="66" t="s">
        <v>131</v>
      </c>
      <c r="D38" s="67"/>
      <c r="E38" s="68"/>
    </row>
    <row r="39" spans="1:7" ht="21">
      <c r="A39" s="59" t="s">
        <v>130</v>
      </c>
      <c r="B39" s="59"/>
      <c r="C39" s="60" t="s">
        <v>130</v>
      </c>
      <c r="D39" s="61"/>
      <c r="E39" s="62"/>
    </row>
    <row r="40" spans="1:7" ht="133.5" customHeight="1">
      <c r="A40" s="166"/>
      <c r="B40" s="166"/>
      <c r="C40" s="167"/>
      <c r="D40" s="168"/>
      <c r="E40" s="169"/>
    </row>
    <row r="41" spans="1:7" ht="218.4" customHeight="1">
      <c r="A41" s="170" t="s">
        <v>186</v>
      </c>
      <c r="B41" s="171"/>
      <c r="C41" s="170" t="s">
        <v>187</v>
      </c>
      <c r="D41" s="171"/>
      <c r="E41" s="171"/>
    </row>
  </sheetData>
  <mergeCells count="4">
    <mergeCell ref="A40:B40"/>
    <mergeCell ref="C40:E40"/>
    <mergeCell ref="A41:B41"/>
    <mergeCell ref="C41:E41"/>
  </mergeCells>
  <phoneticPr fontId="32" type="noConversion"/>
  <pageMargins left="0.43307086614173229" right="0.39370078740157483" top="0.9055118110236221" bottom="0.62992125984251968" header="0.31496062992125984" footer="0.31496062992125984"/>
  <pageSetup paperSize="9" scale="59" orientation="portrait" r:id="rId1"/>
  <headerFooter>
    <oddHeader>&amp;C&amp;G</oddHeader>
    <oddFooter>&amp;L&amp;"-,Bold"&amp;10Doc Name: Food Specification   Doc Number: BASIC-18   Version: V04   Issue Date: 11/02/2021
Issued By: Ling Hsuan Chiu   Authorised By: Emma Du&amp;R&amp;"-,Bold"&amp;10Confidential
&amp;"-,Regular" &amp;D - 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1"/>
  <sheetViews>
    <sheetView zoomScale="85" zoomScaleNormal="85" workbookViewId="0">
      <selection activeCell="D24" sqref="D24:E24"/>
    </sheetView>
  </sheetViews>
  <sheetFormatPr defaultColWidth="9.36328125" defaultRowHeight="14.5"/>
  <cols>
    <col min="1" max="1" width="35.54296875" style="2" customWidth="1"/>
    <col min="2" max="3" width="19.54296875" style="2" customWidth="1"/>
    <col min="4" max="5" width="18.36328125" style="2" customWidth="1"/>
    <col min="6" max="16384" width="9.36328125" style="2"/>
  </cols>
  <sheetData>
    <row r="1" spans="1:7" ht="30" customHeight="1">
      <c r="A1" s="161" t="s">
        <v>160</v>
      </c>
      <c r="B1" s="161"/>
      <c r="C1" s="161"/>
      <c r="E1" s="23"/>
    </row>
    <row r="2" spans="1:7">
      <c r="A2" s="1"/>
      <c r="B2" s="69" t="s">
        <v>262</v>
      </c>
      <c r="C2" s="69" t="s">
        <v>263</v>
      </c>
    </row>
    <row r="3" spans="1:7" ht="24" customHeight="1">
      <c r="A3" s="13" t="s">
        <v>163</v>
      </c>
      <c r="B3" s="46" t="s">
        <v>68</v>
      </c>
      <c r="C3" s="70" t="s">
        <v>68</v>
      </c>
      <c r="F3" s="49"/>
      <c r="G3" s="49"/>
    </row>
    <row r="4" spans="1:7" ht="24" customHeight="1">
      <c r="A4" s="9" t="s">
        <v>116</v>
      </c>
      <c r="B4" s="46">
        <v>55</v>
      </c>
      <c r="C4" s="46">
        <f>(B4*12)/1000</f>
        <v>0.66</v>
      </c>
      <c r="F4" s="49"/>
      <c r="G4" s="49"/>
    </row>
    <row r="5" spans="1:7" ht="24" customHeight="1">
      <c r="A5" s="9" t="s">
        <v>115</v>
      </c>
      <c r="B5" s="46">
        <f>B4+D12</f>
        <v>82</v>
      </c>
      <c r="C5" s="46">
        <f>(B5*12+D15)/1000</f>
        <v>1.484</v>
      </c>
      <c r="F5" s="49"/>
      <c r="G5" s="49"/>
    </row>
    <row r="6" spans="1:7" ht="25.4" customHeight="1">
      <c r="A6" s="188" t="s">
        <v>9</v>
      </c>
      <c r="B6" s="188"/>
      <c r="C6" s="188"/>
      <c r="D6" s="97" t="s">
        <v>264</v>
      </c>
    </row>
    <row r="7" spans="1:7" ht="25.4" customHeight="1">
      <c r="A7" s="188" t="s">
        <v>10</v>
      </c>
      <c r="B7" s="188"/>
      <c r="C7" s="188"/>
      <c r="D7" s="97" t="s">
        <v>265</v>
      </c>
    </row>
    <row r="8" spans="1:7" ht="25.4" customHeight="1">
      <c r="A8" s="188" t="s">
        <v>11</v>
      </c>
      <c r="B8" s="188"/>
      <c r="C8" s="188"/>
      <c r="D8" s="97" t="s">
        <v>266</v>
      </c>
    </row>
    <row r="9" spans="1:7" ht="30" customHeight="1">
      <c r="A9" s="38" t="s">
        <v>161</v>
      </c>
    </row>
    <row r="10" spans="1:7" ht="15" customHeight="1">
      <c r="A10" s="116"/>
      <c r="B10" s="189" t="s">
        <v>6</v>
      </c>
      <c r="C10" s="182" t="s">
        <v>171</v>
      </c>
      <c r="D10" s="182" t="s">
        <v>7</v>
      </c>
      <c r="E10" s="182" t="s">
        <v>8</v>
      </c>
    </row>
    <row r="11" spans="1:7" ht="27.65" customHeight="1">
      <c r="A11" s="117"/>
      <c r="B11" s="190"/>
      <c r="C11" s="190"/>
      <c r="D11" s="183"/>
      <c r="E11" s="183"/>
    </row>
    <row r="12" spans="1:7" ht="15" customHeight="1">
      <c r="A12" s="181" t="s">
        <v>4</v>
      </c>
      <c r="B12" s="184" t="s">
        <v>267</v>
      </c>
      <c r="C12" s="184" t="s">
        <v>268</v>
      </c>
      <c r="D12" s="116">
        <v>27</v>
      </c>
      <c r="E12" s="48" t="s">
        <v>269</v>
      </c>
    </row>
    <row r="13" spans="1:7" ht="15" customHeight="1">
      <c r="A13" s="181"/>
      <c r="B13" s="185"/>
      <c r="C13" s="185"/>
      <c r="D13" s="187"/>
      <c r="E13" s="48" t="s">
        <v>270</v>
      </c>
    </row>
    <row r="14" spans="1:7" ht="15" customHeight="1">
      <c r="A14" s="181"/>
      <c r="B14" s="186"/>
      <c r="C14" s="186"/>
      <c r="D14" s="117"/>
      <c r="E14" s="48"/>
    </row>
    <row r="15" spans="1:7" ht="15" customHeight="1">
      <c r="A15" s="178" t="s">
        <v>5</v>
      </c>
      <c r="B15" s="175" t="s">
        <v>271</v>
      </c>
      <c r="C15" s="175" t="s">
        <v>272</v>
      </c>
      <c r="D15" s="175">
        <v>500</v>
      </c>
      <c r="E15" s="48" t="s">
        <v>273</v>
      </c>
    </row>
    <row r="16" spans="1:7" ht="15" customHeight="1">
      <c r="A16" s="179"/>
      <c r="B16" s="175"/>
      <c r="C16" s="175"/>
      <c r="D16" s="175"/>
      <c r="E16" s="48" t="s">
        <v>274</v>
      </c>
    </row>
    <row r="17" spans="1:5" ht="15" customHeight="1">
      <c r="A17" s="180"/>
      <c r="B17" s="175"/>
      <c r="C17" s="175"/>
      <c r="D17" s="175"/>
      <c r="E17" s="48" t="s">
        <v>275</v>
      </c>
    </row>
    <row r="18" spans="1:5" ht="15" customHeight="1">
      <c r="A18" s="181"/>
      <c r="B18" s="175"/>
      <c r="C18" s="175"/>
      <c r="D18" s="175"/>
      <c r="E18" s="48" t="s">
        <v>276</v>
      </c>
    </row>
    <row r="19" spans="1:5" ht="15" customHeight="1">
      <c r="A19" s="181"/>
      <c r="B19" s="175"/>
      <c r="C19" s="175"/>
      <c r="D19" s="175"/>
      <c r="E19" s="48" t="s">
        <v>277</v>
      </c>
    </row>
    <row r="20" spans="1:5" ht="15" customHeight="1">
      <c r="A20" s="181"/>
      <c r="B20" s="175"/>
      <c r="C20" s="175"/>
      <c r="D20" s="175"/>
      <c r="E20" s="48" t="s">
        <v>278</v>
      </c>
    </row>
    <row r="21" spans="1:5" ht="15" customHeight="1">
      <c r="A21" s="101"/>
      <c r="B21" s="33"/>
      <c r="C21" s="33"/>
      <c r="D21" s="33"/>
    </row>
    <row r="22" spans="1:5" ht="30" customHeight="1">
      <c r="A22" s="38" t="s">
        <v>162</v>
      </c>
    </row>
    <row r="23" spans="1:5" ht="25.4" customHeight="1">
      <c r="A23" s="1"/>
      <c r="B23" s="176" t="s">
        <v>73</v>
      </c>
      <c r="C23" s="177"/>
      <c r="D23" s="176" t="s">
        <v>74</v>
      </c>
      <c r="E23" s="177"/>
    </row>
    <row r="24" spans="1:5" ht="20.149999999999999" customHeight="1">
      <c r="A24" s="9" t="s">
        <v>70</v>
      </c>
      <c r="B24" s="175">
        <v>14</v>
      </c>
      <c r="C24" s="175"/>
      <c r="D24" s="175">
        <v>17</v>
      </c>
      <c r="E24" s="175"/>
    </row>
    <row r="25" spans="1:5" ht="20.149999999999999" customHeight="1">
      <c r="A25" s="9" t="s">
        <v>71</v>
      </c>
      <c r="B25" s="175">
        <v>13</v>
      </c>
      <c r="C25" s="175"/>
      <c r="D25" s="175">
        <v>13</v>
      </c>
      <c r="E25" s="175"/>
    </row>
    <row r="26" spans="1:5" ht="20.149999999999999" customHeight="1">
      <c r="A26" s="9" t="s">
        <v>279</v>
      </c>
      <c r="B26" s="175">
        <f>B24*B25</f>
        <v>182</v>
      </c>
      <c r="C26" s="175"/>
      <c r="D26" s="175">
        <f>D24*D25</f>
        <v>221</v>
      </c>
      <c r="E26" s="175"/>
    </row>
    <row r="27" spans="1:5" ht="20.149999999999999" customHeight="1">
      <c r="A27" s="9" t="s">
        <v>280</v>
      </c>
      <c r="B27" s="175">
        <f>B25*130/1000</f>
        <v>1.69</v>
      </c>
      <c r="C27" s="175"/>
      <c r="D27" s="175">
        <f>D25*130/1000</f>
        <v>1.69</v>
      </c>
      <c r="E27" s="175"/>
    </row>
    <row r="28" spans="1:5" ht="20.149999999999999" customHeight="1">
      <c r="A28" s="2" t="s">
        <v>281</v>
      </c>
      <c r="B28" s="172">
        <f>B27+0.145</f>
        <v>1.835</v>
      </c>
      <c r="C28" s="173"/>
      <c r="D28" s="172">
        <f>D27+0.145</f>
        <v>1.835</v>
      </c>
      <c r="E28" s="173"/>
    </row>
    <row r="29" spans="1:5" ht="20.149999999999999" customHeight="1">
      <c r="A29" s="1" t="s">
        <v>282</v>
      </c>
      <c r="B29" s="172">
        <f>B26*C5</f>
        <v>270.08800000000002</v>
      </c>
      <c r="C29" s="173"/>
      <c r="D29" s="172">
        <f>D26*C5</f>
        <v>327.964</v>
      </c>
      <c r="E29" s="173"/>
    </row>
    <row r="30" spans="1:5" ht="114.75" customHeight="1">
      <c r="A30" s="9" t="s">
        <v>72</v>
      </c>
      <c r="B30" s="172"/>
      <c r="C30" s="174"/>
      <c r="D30" s="172"/>
      <c r="E30" s="174"/>
    </row>
    <row r="31" spans="1:5">
      <c r="B31" s="20" t="s">
        <v>143</v>
      </c>
    </row>
  </sheetData>
  <mergeCells count="37">
    <mergeCell ref="A1:C1"/>
    <mergeCell ref="A6:C6"/>
    <mergeCell ref="A7:C7"/>
    <mergeCell ref="A8:C8"/>
    <mergeCell ref="A10:A11"/>
    <mergeCell ref="B10:B11"/>
    <mergeCell ref="C10:C11"/>
    <mergeCell ref="D10:D11"/>
    <mergeCell ref="E10:E11"/>
    <mergeCell ref="A12:A14"/>
    <mergeCell ref="B12:B14"/>
    <mergeCell ref="C12:C14"/>
    <mergeCell ref="D12:D14"/>
    <mergeCell ref="A15:A17"/>
    <mergeCell ref="B15:B17"/>
    <mergeCell ref="C15:C17"/>
    <mergeCell ref="D15:D17"/>
    <mergeCell ref="A18:A20"/>
    <mergeCell ref="B18:B20"/>
    <mergeCell ref="C18:C20"/>
    <mergeCell ref="D18:D20"/>
    <mergeCell ref="B23:C23"/>
    <mergeCell ref="D23:E23"/>
    <mergeCell ref="B24:C24"/>
    <mergeCell ref="D24:E24"/>
    <mergeCell ref="B25:C25"/>
    <mergeCell ref="D25:E25"/>
    <mergeCell ref="B29:C29"/>
    <mergeCell ref="D29:E29"/>
    <mergeCell ref="B30:C30"/>
    <mergeCell ref="D30:E30"/>
    <mergeCell ref="B26:C26"/>
    <mergeCell ref="D26:E26"/>
    <mergeCell ref="B27:C27"/>
    <mergeCell ref="D27:E27"/>
    <mergeCell ref="B28:C28"/>
    <mergeCell ref="D28:E28"/>
  </mergeCells>
  <phoneticPr fontId="32" type="noConversion"/>
  <pageMargins left="0.39370078740157483" right="0.39370078740157483" top="1.1417322834645669" bottom="0.6692913385826772" header="0.39370078740157483" footer="0.31496062992125984"/>
  <pageSetup paperSize="9" scale="85" orientation="portrait" r:id="rId1"/>
  <headerFooter>
    <oddHeader>&amp;C&amp;G</oddHeader>
    <oddFooter>&amp;L&amp;"-,Bold"&amp;10Doc Name: Food Specification   Doc Number: BASIC-18   Version: V04   Issue Date: 11/02/2021
Issued By: Ling Hsuan Chiu   Authorised By: Emma Du&amp;R&amp;"-,Bold"&amp;10Confidential
&amp;"-,Regular" &amp;D -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9"/>
  <sheetViews>
    <sheetView topLeftCell="A15" zoomScaleNormal="100" workbookViewId="0">
      <selection activeCell="I37" sqref="I37"/>
    </sheetView>
  </sheetViews>
  <sheetFormatPr defaultColWidth="9" defaultRowHeight="14.5"/>
  <cols>
    <col min="1" max="1" width="21.54296875" style="2" customWidth="1"/>
    <col min="2" max="2" width="19.54296875" style="2" customWidth="1"/>
    <col min="3" max="3" width="15.6328125" style="2" customWidth="1"/>
    <col min="4" max="4" width="20" style="2" customWidth="1"/>
    <col min="5" max="5" width="31.36328125" style="2" customWidth="1"/>
    <col min="6" max="6" width="7.36328125" style="2" customWidth="1"/>
    <col min="7" max="7" width="11.6328125" style="2" customWidth="1"/>
    <col min="8" max="16384" width="9" style="2"/>
  </cols>
  <sheetData>
    <row r="1" spans="1:7" s="39" customFormat="1" ht="30" customHeight="1">
      <c r="A1" s="161" t="s">
        <v>164</v>
      </c>
      <c r="B1" s="161"/>
      <c r="C1" s="161"/>
      <c r="D1" s="161"/>
      <c r="E1" s="161"/>
      <c r="F1" s="40"/>
    </row>
    <row r="2" spans="1:7" ht="24.9" customHeight="1">
      <c r="A2" s="192" t="s">
        <v>62</v>
      </c>
      <c r="B2" s="192"/>
      <c r="C2" s="192"/>
      <c r="D2" s="192"/>
      <c r="E2" s="192"/>
      <c r="F2" s="29"/>
    </row>
    <row r="3" spans="1:7" ht="24.9" customHeight="1">
      <c r="A3" s="193" t="s">
        <v>283</v>
      </c>
      <c r="B3" s="194"/>
      <c r="C3" s="194"/>
      <c r="D3" s="194"/>
      <c r="E3" s="194"/>
      <c r="F3" s="30"/>
    </row>
    <row r="4" spans="1:7" ht="30" customHeight="1">
      <c r="A4" s="194"/>
      <c r="B4" s="194"/>
      <c r="C4" s="194"/>
      <c r="D4" s="194"/>
      <c r="E4" s="194"/>
      <c r="F4" s="30"/>
    </row>
    <row r="5" spans="1:7" s="39" customFormat="1" ht="30" customHeight="1">
      <c r="A5" s="161" t="s">
        <v>165</v>
      </c>
      <c r="B5" s="161"/>
      <c r="C5" s="161"/>
      <c r="D5" s="161"/>
      <c r="E5" s="161"/>
      <c r="F5" s="40"/>
    </row>
    <row r="6" spans="1:7" ht="30" customHeight="1">
      <c r="A6" s="16" t="s">
        <v>63</v>
      </c>
      <c r="B6" s="195" t="s">
        <v>64</v>
      </c>
      <c r="C6" s="195"/>
      <c r="D6" s="16" t="s">
        <v>65</v>
      </c>
      <c r="E6" s="16" t="s">
        <v>66</v>
      </c>
      <c r="F6" s="31"/>
    </row>
    <row r="7" spans="1:7" ht="24.9" customHeight="1">
      <c r="A7" s="48" t="s">
        <v>284</v>
      </c>
      <c r="B7" s="196" t="s">
        <v>285</v>
      </c>
      <c r="C7" s="197"/>
      <c r="D7" s="102" t="s">
        <v>286</v>
      </c>
      <c r="E7" s="48" t="s">
        <v>287</v>
      </c>
    </row>
    <row r="8" spans="1:7" ht="43.5">
      <c r="A8" s="48" t="s">
        <v>288</v>
      </c>
      <c r="B8" s="196" t="s">
        <v>289</v>
      </c>
      <c r="C8" s="197"/>
      <c r="D8" s="103" t="s">
        <v>290</v>
      </c>
      <c r="E8" s="53" t="s">
        <v>200</v>
      </c>
    </row>
    <row r="9" spans="1:7" s="39" customFormat="1" ht="30" customHeight="1">
      <c r="A9" s="38" t="s">
        <v>166</v>
      </c>
      <c r="G9" s="42"/>
    </row>
    <row r="10" spans="1:7">
      <c r="A10" s="176" t="s">
        <v>102</v>
      </c>
      <c r="B10" s="176"/>
      <c r="C10" s="176" t="s">
        <v>167</v>
      </c>
      <c r="D10" s="176"/>
      <c r="E10" s="176"/>
      <c r="F10" s="32"/>
    </row>
    <row r="11" spans="1:7" ht="30" customHeight="1">
      <c r="A11" s="199"/>
      <c r="B11" s="199"/>
      <c r="C11" s="199"/>
      <c r="D11" s="199"/>
      <c r="E11" s="199"/>
      <c r="F11" s="33"/>
    </row>
    <row r="12" spans="1:7" ht="30" customHeight="1">
      <c r="A12" s="199"/>
      <c r="B12" s="199"/>
      <c r="C12" s="199"/>
      <c r="D12" s="199"/>
      <c r="E12" s="199"/>
      <c r="F12" s="33"/>
    </row>
    <row r="13" spans="1:7" ht="174.65" customHeight="1">
      <c r="A13" s="199"/>
      <c r="B13" s="199"/>
      <c r="C13" s="199"/>
      <c r="D13" s="199"/>
      <c r="E13" s="199"/>
      <c r="F13" s="33"/>
    </row>
    <row r="14" spans="1:7" s="39" customFormat="1" ht="30" customHeight="1">
      <c r="A14" s="38" t="s">
        <v>168</v>
      </c>
    </row>
    <row r="15" spans="1:7" ht="29">
      <c r="A15" s="17" t="s">
        <v>144</v>
      </c>
      <c r="B15" s="203" t="s">
        <v>69</v>
      </c>
      <c r="C15" s="203"/>
      <c r="D15" s="203" t="s">
        <v>145</v>
      </c>
      <c r="E15" s="203"/>
      <c r="F15" s="28"/>
    </row>
    <row r="16" spans="1:7" ht="144" customHeight="1">
      <c r="A16" s="104"/>
      <c r="B16" s="204"/>
      <c r="C16" s="205"/>
      <c r="D16" s="172"/>
      <c r="E16" s="174"/>
      <c r="F16" s="33"/>
    </row>
    <row r="17" spans="1:6" s="39" customFormat="1" ht="30" customHeight="1">
      <c r="A17" s="206" t="s">
        <v>103</v>
      </c>
      <c r="B17" s="206"/>
      <c r="C17" s="206"/>
      <c r="D17" s="207"/>
      <c r="E17" s="207"/>
      <c r="F17" s="43"/>
    </row>
    <row r="18" spans="1:6" ht="50.15" customHeight="1">
      <c r="A18" s="200" t="s">
        <v>104</v>
      </c>
      <c r="B18" s="201"/>
      <c r="C18" s="201"/>
      <c r="D18" s="201"/>
      <c r="E18" s="202"/>
      <c r="F18" s="29"/>
    </row>
    <row r="19" spans="1:6" ht="20.149999999999999" customHeight="1">
      <c r="A19" s="13" t="s">
        <v>105</v>
      </c>
      <c r="B19" s="165" t="s">
        <v>206</v>
      </c>
      <c r="C19" s="165"/>
      <c r="D19" s="165"/>
      <c r="E19" s="165"/>
      <c r="F19" s="32"/>
    </row>
    <row r="20" spans="1:6" ht="20.149999999999999" customHeight="1">
      <c r="A20" s="13" t="s">
        <v>106</v>
      </c>
      <c r="B20" s="165"/>
      <c r="C20" s="165"/>
      <c r="D20" s="165"/>
      <c r="E20" s="165"/>
      <c r="F20" s="32"/>
    </row>
    <row r="21" spans="1:6" ht="20.149999999999999" customHeight="1">
      <c r="A21" s="13" t="s">
        <v>107</v>
      </c>
      <c r="B21" s="165" t="s">
        <v>291</v>
      </c>
      <c r="C21" s="165"/>
      <c r="D21" s="165"/>
      <c r="E21" s="165"/>
      <c r="F21" s="32"/>
    </row>
    <row r="22" spans="1:6" ht="20.149999999999999" customHeight="1">
      <c r="A22" s="13" t="s">
        <v>108</v>
      </c>
      <c r="B22" s="165" t="s">
        <v>178</v>
      </c>
      <c r="C22" s="165"/>
      <c r="D22" s="165"/>
      <c r="E22" s="165"/>
      <c r="F22" s="32"/>
    </row>
    <row r="23" spans="1:6" ht="20.149999999999999" customHeight="1">
      <c r="A23" s="13" t="s">
        <v>109</v>
      </c>
      <c r="B23" s="198">
        <v>46120</v>
      </c>
      <c r="C23" s="198"/>
      <c r="D23" s="198"/>
      <c r="E23" s="198"/>
      <c r="F23" s="32"/>
    </row>
    <row r="24" spans="1:6">
      <c r="A24" s="49"/>
      <c r="B24" s="32"/>
      <c r="C24" s="32"/>
      <c r="D24" s="32"/>
      <c r="E24" s="32"/>
      <c r="F24" s="32"/>
    </row>
    <row r="25" spans="1:6" ht="15.65" customHeight="1">
      <c r="A25" s="191" t="s">
        <v>110</v>
      </c>
      <c r="B25" s="191"/>
      <c r="C25" s="191"/>
      <c r="D25" s="191"/>
      <c r="E25" s="191"/>
      <c r="F25" s="34"/>
    </row>
    <row r="26" spans="1:6">
      <c r="A26" s="14" t="s">
        <v>106</v>
      </c>
      <c r="B26" s="105" t="s">
        <v>292</v>
      </c>
      <c r="C26" s="106"/>
      <c r="D26" s="106"/>
      <c r="E26" s="107"/>
      <c r="F26" s="32"/>
    </row>
    <row r="27" spans="1:6">
      <c r="A27" s="14" t="s">
        <v>107</v>
      </c>
      <c r="B27" s="105" t="s">
        <v>293</v>
      </c>
      <c r="C27" s="106"/>
      <c r="D27" s="106"/>
      <c r="E27" s="107"/>
      <c r="F27" s="32"/>
    </row>
    <row r="28" spans="1:6">
      <c r="A28" s="14" t="s">
        <v>108</v>
      </c>
      <c r="B28" s="105" t="s">
        <v>294</v>
      </c>
      <c r="C28" s="106"/>
      <c r="D28" s="106"/>
      <c r="E28" s="107"/>
      <c r="F28" s="32"/>
    </row>
    <row r="29" spans="1:6">
      <c r="A29" s="14" t="s">
        <v>109</v>
      </c>
      <c r="B29" s="108" t="s">
        <v>295</v>
      </c>
      <c r="C29" s="109"/>
      <c r="D29" s="109"/>
      <c r="E29" s="110"/>
      <c r="F29" s="32"/>
    </row>
  </sheetData>
  <mergeCells count="24">
    <mergeCell ref="A18:E18"/>
    <mergeCell ref="C11:E13"/>
    <mergeCell ref="D15:E15"/>
    <mergeCell ref="B16:C16"/>
    <mergeCell ref="D16:E16"/>
    <mergeCell ref="A17:C17"/>
    <mergeCell ref="D17:E17"/>
    <mergeCell ref="B15:C15"/>
    <mergeCell ref="A25:E25"/>
    <mergeCell ref="B19:E19"/>
    <mergeCell ref="B20:E20"/>
    <mergeCell ref="A1:E1"/>
    <mergeCell ref="A2:E2"/>
    <mergeCell ref="A3:E4"/>
    <mergeCell ref="A5:E5"/>
    <mergeCell ref="B6:C6"/>
    <mergeCell ref="B21:E21"/>
    <mergeCell ref="B22:E22"/>
    <mergeCell ref="B7:C7"/>
    <mergeCell ref="B8:C8"/>
    <mergeCell ref="B23:E23"/>
    <mergeCell ref="A10:B10"/>
    <mergeCell ref="C10:E10"/>
    <mergeCell ref="A11:B13"/>
  </mergeCells>
  <phoneticPr fontId="32" type="noConversion"/>
  <pageMargins left="0.39370078740157483" right="0.39370078740157483" top="1.0629921259842521" bottom="0.70866141732283472" header="0.31496062992125984" footer="0.31496062992125984"/>
  <pageSetup paperSize="9" scale="85" orientation="portrait" r:id="rId1"/>
  <headerFooter>
    <oddHeader>&amp;C&amp;G</oddHeader>
    <oddFooter>&amp;L&amp;"-,Bold"&amp;10&amp;K000000
Doc Name: Food Specification   Doc Number: BASIC-18   Version: V04   Issue Date: 11/02/2021
Issued By: Ling Hsuan Chiu   Authorised By: Emma Du&amp;C
&amp;R&amp;"-,Bold"&amp;10Confidential
&amp;"-,Regular"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
  <sheetViews>
    <sheetView tabSelected="1" workbookViewId="0">
      <selection activeCell="A11" sqref="A11"/>
    </sheetView>
  </sheetViews>
  <sheetFormatPr defaultRowHeight="14.5"/>
  <cols>
    <col min="1" max="1" width="15" style="208" customWidth="1"/>
    <col min="2" max="2" width="71" style="208" customWidth="1"/>
    <col min="3" max="16384" width="8.7265625" style="208"/>
  </cols>
  <sheetData>
    <row r="1" spans="1:9" ht="29">
      <c r="A1" s="13" t="s">
        <v>303</v>
      </c>
      <c r="B1" s="208" t="s">
        <v>304</v>
      </c>
      <c r="I1" s="210"/>
    </row>
    <row r="2" spans="1:9">
      <c r="A2" s="111" t="s">
        <v>175</v>
      </c>
      <c r="B2" s="112"/>
    </row>
    <row r="3" spans="1:9" ht="72.5">
      <c r="A3" s="45">
        <v>1</v>
      </c>
      <c r="B3" s="211" t="s">
        <v>307</v>
      </c>
    </row>
    <row r="4" spans="1:9" ht="29">
      <c r="A4" s="45">
        <v>2</v>
      </c>
      <c r="B4" s="212" t="s">
        <v>309</v>
      </c>
    </row>
    <row r="5" spans="1:9">
      <c r="A5" s="45">
        <v>3</v>
      </c>
      <c r="B5" s="47" t="s">
        <v>305</v>
      </c>
    </row>
    <row r="6" spans="1:9" ht="28">
      <c r="A6" s="45">
        <v>4</v>
      </c>
      <c r="B6" s="209" t="s">
        <v>306</v>
      </c>
    </row>
    <row r="7" spans="1:9">
      <c r="A7" s="45">
        <v>5</v>
      </c>
      <c r="B7" s="47" t="s">
        <v>308</v>
      </c>
    </row>
  </sheetData>
  <phoneticPr fontId="3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4FFC3916-81F4-4F18-AE01-657963AD9EE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1-5.Manufacturer &amp; product  (2</vt:lpstr>
      <vt:lpstr>6-8.Ingre&amp;Nutrition&amp;Allergens</vt:lpstr>
      <vt:lpstr>9-13.Quality Attributes  (2)</vt:lpstr>
      <vt:lpstr>14-16.Quantity&amp;packaging in (2</vt:lpstr>
      <vt:lpstr>17-20.HCCP,Artwork&amp;SpecAuthor.</vt:lpstr>
      <vt:lpstr>21. Ecommerce</vt:lpstr>
      <vt:lpstr>'14-16.Quantity&amp;packaging in (2'!Print_Area</vt:lpstr>
      <vt:lpstr>'1-5.Manufacturer &amp; product  (2'!Print_Area</vt:lpstr>
      <vt:lpstr>'17-20.HCCP,Artwork&amp;SpecAuthor.'!Print_Area</vt:lpstr>
      <vt:lpstr>'6-8.Ingre&amp;Nutrition&amp;Allergens'!Print_Area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James Clark</cp:lastModifiedBy>
  <cp:lastPrinted>2020-05-07T11:58:36Z</cp:lastPrinted>
  <dcterms:created xsi:type="dcterms:W3CDTF">2020-04-03T10:32:46Z</dcterms:created>
  <dcterms:modified xsi:type="dcterms:W3CDTF">2026-04-09T16:38:08Z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