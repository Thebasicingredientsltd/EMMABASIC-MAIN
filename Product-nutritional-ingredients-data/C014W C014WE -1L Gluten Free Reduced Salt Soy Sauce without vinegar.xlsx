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56" documentId="11_263DB4E3ACA4C82AEAFD27BC6946F5D66F144CBA" xr6:coauthVersionLast="47" xr6:coauthVersionMax="47" xr10:uidLastSave="{2739F0D6-E095-43CF-ACCF-0401A6DFCB5C}"/>
  <bookViews>
    <workbookView xWindow="43980" yWindow="240" windowWidth="32280" windowHeight="20535" tabRatio="977" activeTab="3"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21. Ecommerce" sheetId="13" r:id="rId6"/>
    <sheet name="Warranty statement" sheetId="14" r:id="rId7"/>
  </sheets>
  <definedNames>
    <definedName name="_xlnm.Print_Area" localSheetId="3">'14-16.Quantity&amp;packaging info'!$A$1:$E$28</definedName>
    <definedName name="_xlnm.Print_Area" localSheetId="0">'1-5.Manufacturer &amp; product info'!$A$1:$E$38</definedName>
    <definedName name="_xlnm.Print_Area" localSheetId="4">'17-20.HACCP,Artwork&amp;SpecAuthor.'!$A$1:$E$32</definedName>
    <definedName name="_xlnm.Print_Area" localSheetId="1">'6-8.Ingre&amp;Nutrition&amp;Allergens'!$A$1:$H$44</definedName>
    <definedName name="_xlnm.Print_Area" localSheetId="2">'9-13.Quality Attributes '!$A$1:$F$37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8" l="1"/>
  <c r="C26" i="8"/>
  <c r="B26" i="8"/>
  <c r="C25" i="8"/>
  <c r="B25" i="8"/>
  <c r="C24" i="8"/>
  <c r="B24" i="8"/>
  <c r="B18" i="8"/>
  <c r="B17" i="8"/>
  <c r="E8" i="2"/>
</calcChain>
</file>

<file path=xl/sharedStrings.xml><?xml version="1.0" encoding="utf-8"?>
<sst xmlns="http://schemas.openxmlformats.org/spreadsheetml/2006/main" count="489" uniqueCount="328">
  <si>
    <t>1.Product Gernal Description:</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</si>
  <si>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</si>
  <si>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t>Gluten Free Reduced Salt Soy Sauce</t>
  </si>
  <si>
    <t>Product Description in Details:</t>
  </si>
  <si>
    <t xml:space="preserve">Soy sauce could be mixed with wasabi paste for sushi </t>
  </si>
  <si>
    <t>Pruchase UoM:</t>
  </si>
  <si>
    <t>12/1L</t>
  </si>
  <si>
    <t>TBI Product Code:</t>
  </si>
  <si>
    <t>C014W</t>
  </si>
  <si>
    <t>Product Barcode:</t>
  </si>
  <si>
    <t>5060740660570</t>
  </si>
  <si>
    <t>Outer case Barcode:</t>
  </si>
  <si>
    <t>35060740660571</t>
  </si>
  <si>
    <t>Name of Supplier</t>
  </si>
  <si>
    <t>INNER MONGOLIA KIND WANJIA FOODS CO.,LTD.</t>
  </si>
  <si>
    <t>Name of Manufacturer:</t>
  </si>
  <si>
    <t>Address of Manufacturer:</t>
  </si>
  <si>
    <t>No.11 Zhongyang road industry, Economic development zone, Wulanhot, Inner mongolia, China</t>
  </si>
  <si>
    <r>
      <rPr>
        <sz val="12"/>
        <color theme="1"/>
        <rFont val="Calibri Light"/>
        <family val="2"/>
        <scheme val="major"/>
      </rP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</si>
  <si>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</si>
  <si>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2.Product Certified For</t>
  </si>
  <si>
    <t xml:space="preserve">* If certified please tick yes and attach the certificates &amp; reports </t>
  </si>
  <si>
    <t>Yes</t>
  </si>
  <si>
    <t>认证</t>
  </si>
  <si>
    <t>BRC</t>
  </si>
  <si>
    <t>√</t>
  </si>
  <si>
    <t>ISO22000</t>
  </si>
  <si>
    <t>ASC</t>
  </si>
  <si>
    <t>Global G.A.P.</t>
  </si>
  <si>
    <t>Sedex</t>
  </si>
  <si>
    <t>Halal</t>
  </si>
  <si>
    <t>Kosher</t>
  </si>
  <si>
    <t>Organic</t>
  </si>
  <si>
    <t>Other</t>
  </si>
  <si>
    <t>HACCP, FSSC22000, FDA</t>
  </si>
  <si>
    <t>3.Dietary Requirements</t>
  </si>
  <si>
    <t>*Please tick in the box</t>
  </si>
  <si>
    <t>Vegetarians</t>
  </si>
  <si>
    <t>(Contains no animal product but may animal by-product e.g Milk &amp; egg)</t>
  </si>
  <si>
    <t xml:space="preserve">Vegans </t>
  </si>
  <si>
    <t>(Contains no animal product)</t>
  </si>
  <si>
    <t>4.Shelf Life &amp; Storage Condition</t>
  </si>
  <si>
    <t>Storage Condition / Temperature Range (°C)</t>
  </si>
  <si>
    <t>Keep away from sunlignt and store in a cool and dry place</t>
  </si>
  <si>
    <t xml:space="preserve"> </t>
  </si>
  <si>
    <t>Shelf Life</t>
  </si>
  <si>
    <t>18 months</t>
  </si>
  <si>
    <t>Shelf Life赏味期限</t>
  </si>
  <si>
    <t>Ambient products</t>
  </si>
  <si>
    <t>Frozen Products</t>
  </si>
  <si>
    <t>装船前最短剩余保质期/交货时最短保质期</t>
  </si>
  <si>
    <t>Once Opened</t>
  </si>
  <si>
    <t>use up as soon as possible</t>
  </si>
  <si>
    <t>开封后保存期限</t>
  </si>
  <si>
    <t>Once Defrosted</t>
  </si>
  <si>
    <t>Once Defrosted suitable for Refreezing?</t>
  </si>
  <si>
    <t xml:space="preserve"> No</t>
  </si>
  <si>
    <t>Date Code Format E.g. DD/MM/YY</t>
  </si>
  <si>
    <t>DD.MM.YYYY</t>
  </si>
  <si>
    <t>日日.月月.年年年年</t>
  </si>
  <si>
    <t>Batch Code Format / Traceability Code</t>
  </si>
  <si>
    <t>1507WJ-XXXX</t>
  </si>
  <si>
    <t>5.Instructions for Use</t>
  </si>
  <si>
    <t>Soy sauce could be used directly or mix with wasabi paste</t>
  </si>
  <si>
    <t>6.Product Composition</t>
  </si>
  <si>
    <t>Ingredients</t>
  </si>
  <si>
    <t>Components</t>
  </si>
  <si>
    <t>% 
Composition</t>
  </si>
  <si>
    <t>Supplier Names</t>
  </si>
  <si>
    <t>Country of Origin原产地</t>
  </si>
  <si>
    <t>Genetically modified?</t>
  </si>
  <si>
    <r>
      <rPr>
        <sz val="8"/>
        <color theme="1"/>
        <rFont val="Calibri Light"/>
        <family val="2"/>
        <scheme val="major"/>
      </rP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</si>
  <si>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</si>
  <si>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rPr>
        <sz val="8"/>
        <color theme="1"/>
        <rFont val="Calibri Light"/>
        <family val="2"/>
        <scheme val="major"/>
      </rP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</si>
  <si>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</si>
  <si>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water</t>
  </si>
  <si>
    <t>INNER MONGOLIA KIND WANJIA FOODS CO. LTD</t>
  </si>
  <si>
    <t>China</t>
  </si>
  <si>
    <t>NO</t>
  </si>
  <si>
    <t>soybeans</t>
  </si>
  <si>
    <t>WANJIA FARM</t>
  </si>
  <si>
    <t>salt</t>
  </si>
  <si>
    <t>Shandong Daiyue Salt Refine Co.,LTD.</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</si>
  <si>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</si>
  <si>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</si>
  <si>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Are Genetically Modified Organisms handled on manufacturing site?</t>
  </si>
  <si>
    <t>No</t>
  </si>
  <si>
    <t>Is GMO free certificate available for the ingredients at GMO risk?</t>
  </si>
  <si>
    <t>If needed, the finfined product will be tested.</t>
  </si>
  <si>
    <t>可以提供大豆相關檢測報告嗎?</t>
  </si>
  <si>
    <t>7.Nutritional Information</t>
  </si>
  <si>
    <t>* Not Mandatory</t>
  </si>
  <si>
    <t>Typical Values</t>
  </si>
  <si>
    <t>Per 100ml</t>
  </si>
  <si>
    <t xml:space="preserve">Energy (Kcal/KJ) </t>
  </si>
  <si>
    <t xml:space="preserve">
247KJ/59kcal</t>
  </si>
  <si>
    <t>能量</t>
  </si>
  <si>
    <t>Fat</t>
  </si>
  <si>
    <t>0g</t>
  </si>
  <si>
    <t>脂肪</t>
  </si>
  <si>
    <t xml:space="preserve">   of which saturate fat</t>
  </si>
  <si>
    <t>0 g</t>
  </si>
  <si>
    <t xml:space="preserve">   of which monounsaturated fat*</t>
  </si>
  <si>
    <t xml:space="preserve">   of which, polyunsaturated fat*</t>
  </si>
  <si>
    <t>Carbohydrate</t>
  </si>
  <si>
    <t>7.5 g</t>
  </si>
  <si>
    <t>碳水化合物</t>
  </si>
  <si>
    <t xml:space="preserve">   of which sugar</t>
  </si>
  <si>
    <t xml:space="preserve">   of which Polyols*</t>
  </si>
  <si>
    <t xml:space="preserve">   of which starch*</t>
  </si>
  <si>
    <t>Fibre*</t>
  </si>
  <si>
    <t>0.2 g</t>
  </si>
  <si>
    <t>纤维</t>
  </si>
  <si>
    <t>Protein</t>
  </si>
  <si>
    <t>7.0 g</t>
  </si>
  <si>
    <t>蛋白质</t>
  </si>
  <si>
    <t>Salt</t>
  </si>
  <si>
    <t>10.3g</t>
  </si>
  <si>
    <t>Sodium in mg x 2.5 /1000 = salt in g</t>
  </si>
  <si>
    <t>盐</t>
  </si>
  <si>
    <t>NOTE: Must attach lab analyses report</t>
  </si>
  <si>
    <t>8.The fourteen Allergens – Regulation (EU) No 1169/2011</t>
  </si>
  <si>
    <t>Potential Component</t>
  </si>
  <si>
    <t xml:space="preserve">Product contains? </t>
  </si>
  <si>
    <t xml:space="preserve">in which ingredient? </t>
  </si>
  <si>
    <t>Handled on manufacturing site?</t>
  </si>
  <si>
    <t xml:space="preserve">Risk of Cross Contamination </t>
  </si>
  <si>
    <t>Yes/No</t>
  </si>
  <si>
    <t>01</t>
  </si>
  <si>
    <r>
      <rPr>
        <sz val="12"/>
        <color theme="1"/>
        <rFont val="Calibri Light"/>
        <family val="2"/>
        <scheme val="major"/>
      </rPr>
      <t xml:space="preserve">Cereals containing gluten
</t>
    </r>
    <r>
      <rPr>
        <sz val="10"/>
        <color theme="1"/>
        <rFont val="Calibri Light"/>
        <family val="2"/>
        <scheme val="major"/>
      </rPr>
      <t>including wheat, Rye, Barley, Oats, Spelt &amp; Khorasan and products thereof:</t>
    </r>
  </si>
  <si>
    <t>02</t>
  </si>
  <si>
    <t>Crustaceans and products thereof:</t>
  </si>
  <si>
    <t>03</t>
  </si>
  <si>
    <t>Fish and products thereof:</t>
  </si>
  <si>
    <t>04</t>
  </si>
  <si>
    <t>Molluscs and products thereof:</t>
  </si>
  <si>
    <t>05</t>
  </si>
  <si>
    <t>Peanuts and products thereof:</t>
  </si>
  <si>
    <t>06</t>
  </si>
  <si>
    <t>Soybeans and products thereof:</t>
  </si>
  <si>
    <t>V</t>
  </si>
  <si>
    <t>Soybean</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</si>
  <si>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</si>
  <si>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</si>
  <si>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</si>
  <si>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</si>
  <si>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</si>
  <si>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</si>
  <si>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</si>
  <si>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</si>
  <si>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</si>
  <si>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</si>
  <si>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</si>
  <si>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</si>
  <si>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</si>
  <si>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</si>
  <si>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</si>
  <si>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</si>
  <si>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9.Chemical Standard</t>
  </si>
  <si>
    <t>Test Item</t>
  </si>
  <si>
    <t>EU MRL standard</t>
  </si>
  <si>
    <t>Contry of Origin MRL Standard</t>
  </si>
  <si>
    <t>Test Frequency</t>
  </si>
  <si>
    <t>Lead (Pb)</t>
  </si>
  <si>
    <t>≤1.0mg/kg</t>
  </si>
  <si>
    <t>once a year</t>
  </si>
  <si>
    <t>Arsenic (As)</t>
  </si>
  <si>
    <t>≤0.5mg/kg</t>
  </si>
  <si>
    <t>检测的是总砷</t>
  </si>
  <si>
    <t>Pesticides</t>
  </si>
  <si>
    <t>ND</t>
  </si>
  <si>
    <t>那你們測大豆的農殘嗎?</t>
  </si>
  <si>
    <t>Salt盐</t>
  </si>
  <si>
    <t>8-10g/100ml</t>
  </si>
  <si>
    <t>Every batch</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</si>
  <si>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</si>
  <si>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</si>
  <si>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</si>
  <si>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</si>
  <si>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</si>
  <si>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</si>
  <si>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</si>
  <si>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 xml:space="preserve">              If yes, what controls in place</t>
  </si>
  <si>
    <t xml:space="preserve">Has the product/ingredient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</si>
  <si>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</si>
  <si>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</si>
  <si>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</si>
  <si>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</si>
  <si>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</si>
  <si>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r>
      <rPr>
        <b/>
        <sz val="11"/>
        <color rgb="FF000000"/>
        <rFont val="Arial"/>
        <family val="2"/>
      </rPr>
      <t>EU satisfactory in ready to eat</t>
    </r>
    <r>
      <rPr>
        <b/>
        <sz val="11"/>
        <color rgb="FF000000"/>
        <rFont val="宋体"/>
        <charset val="134"/>
      </rPr>
      <t>欧盟标准</t>
    </r>
  </si>
  <si>
    <t>Contry of Origin Standard</t>
  </si>
  <si>
    <t>Manufacturer Standard</t>
  </si>
  <si>
    <t>TVC</t>
  </si>
  <si>
    <t>Quality Indicator</t>
  </si>
  <si>
    <r>
      <rPr>
        <sz val="11"/>
        <color theme="1"/>
        <rFont val="Arial"/>
        <family val="2"/>
      </rPr>
      <t>&lt;10</t>
    </r>
    <r>
      <rPr>
        <vertAlign val="superscript"/>
        <sz val="11"/>
        <color theme="1"/>
        <rFont val="Arial"/>
        <family val="2"/>
      </rPr>
      <t>4</t>
    </r>
  </si>
  <si>
    <r>
      <rPr>
        <sz val="11"/>
        <color theme="1"/>
        <rFont val="Arial"/>
        <family val="2"/>
      </rPr>
      <t>N=5</t>
    </r>
    <r>
      <rPr>
        <sz val="11"/>
        <color theme="1"/>
        <rFont val="宋体"/>
        <charset val="134"/>
      </rPr>
      <t>，</t>
    </r>
    <r>
      <rPr>
        <sz val="11"/>
        <color theme="1"/>
        <rFont val="Arial"/>
        <family val="2"/>
      </rPr>
      <t>C=2</t>
    </r>
    <r>
      <rPr>
        <sz val="11"/>
        <color theme="1"/>
        <rFont val="宋体"/>
        <charset val="134"/>
      </rPr>
      <t>，</t>
    </r>
    <r>
      <rPr>
        <sz val="11"/>
        <color theme="1"/>
        <rFont val="Arial"/>
        <family val="2"/>
      </rPr>
      <t>m=5000,M=50000</t>
    </r>
  </si>
  <si>
    <t>every batch</t>
  </si>
  <si>
    <t>你們这全測嗎?以下請寫你們有測, 会測的項目</t>
  </si>
  <si>
    <t>Escherichia coli</t>
  </si>
  <si>
    <t>Hygiene indicator</t>
  </si>
  <si>
    <t>&lt;20</t>
  </si>
  <si>
    <r>
      <rPr>
        <sz val="11"/>
        <color theme="1"/>
        <rFont val="Arial"/>
        <family val="2"/>
      </rPr>
      <t>N=5</t>
    </r>
    <r>
      <rPr>
        <sz val="11"/>
        <color theme="1"/>
        <rFont val="宋体"/>
        <charset val="134"/>
      </rPr>
      <t>，</t>
    </r>
    <r>
      <rPr>
        <sz val="11"/>
        <color theme="1"/>
        <rFont val="Arial"/>
        <family val="2"/>
      </rPr>
      <t>C=2</t>
    </r>
    <r>
      <rPr>
        <sz val="11"/>
        <color theme="1"/>
        <rFont val="宋体"/>
        <charset val="134"/>
      </rPr>
      <t>，</t>
    </r>
    <r>
      <rPr>
        <sz val="11"/>
        <color theme="1"/>
        <rFont val="Arial"/>
        <family val="2"/>
      </rPr>
      <t>m=10,M=100</t>
    </r>
  </si>
  <si>
    <r>
      <rPr>
        <sz val="11"/>
        <color theme="1"/>
        <rFont val="Arial"/>
        <family val="2"/>
      </rPr>
      <t>N=5</t>
    </r>
    <r>
      <rPr>
        <sz val="11"/>
        <color theme="1"/>
        <rFont val="宋体"/>
        <charset val="134"/>
      </rPr>
      <t>，</t>
    </r>
    <r>
      <rPr>
        <sz val="11"/>
        <color theme="1"/>
        <rFont val="Arial"/>
        <family val="2"/>
      </rPr>
      <t>C=2</t>
    </r>
    <r>
      <rPr>
        <sz val="11"/>
        <color theme="1"/>
        <rFont val="宋体"/>
        <charset val="134"/>
      </rPr>
      <t>，</t>
    </r>
    <r>
      <rPr>
        <sz val="11"/>
        <color theme="1"/>
        <rFont val="Arial"/>
        <family val="2"/>
      </rPr>
      <t>m=10,M=10</t>
    </r>
    <r>
      <rPr>
        <vertAlign val="superscript"/>
        <sz val="11"/>
        <color theme="1"/>
        <rFont val="宋体"/>
        <charset val="134"/>
      </rPr>
      <t>2</t>
    </r>
  </si>
  <si>
    <t>spot check (every month)</t>
  </si>
  <si>
    <t>Enterobacteriaceae</t>
  </si>
  <si>
    <t>&lt;100</t>
  </si>
  <si>
    <t>-</t>
  </si>
  <si>
    <t>Listeria spp</t>
  </si>
  <si>
    <t>Not Detected</t>
  </si>
  <si>
    <t>Listeria monocytogenes</t>
  </si>
  <si>
    <t>Pathogens</t>
  </si>
  <si>
    <t>Campylobacter spp.</t>
  </si>
  <si>
    <t>Escherichia coli O157</t>
  </si>
  <si>
    <t>Salmonella spp.</t>
  </si>
  <si>
    <r>
      <rPr>
        <sz val="11"/>
        <color theme="1"/>
        <rFont val="Arial"/>
        <family val="2"/>
      </rPr>
      <t>N=5</t>
    </r>
    <r>
      <rPr>
        <sz val="11"/>
        <color theme="1"/>
        <rFont val="宋体"/>
        <charset val="134"/>
      </rPr>
      <t>，</t>
    </r>
    <r>
      <rPr>
        <sz val="11"/>
        <color theme="1"/>
        <rFont val="Arial"/>
        <family val="2"/>
      </rPr>
      <t>C=1</t>
    </r>
    <r>
      <rPr>
        <sz val="11"/>
        <color theme="1"/>
        <rFont val="宋体"/>
        <charset val="134"/>
      </rPr>
      <t>，</t>
    </r>
    <r>
      <rPr>
        <sz val="11"/>
        <color theme="1"/>
        <rFont val="Arial"/>
        <family val="2"/>
      </rPr>
      <t>m=0,M=-</t>
    </r>
  </si>
  <si>
    <t xml:space="preserve">Shigella spp. </t>
  </si>
  <si>
    <t xml:space="preserve">Vibrio cholera (O1 and O139) </t>
  </si>
  <si>
    <t>Vibrio parahaemolyticus</t>
  </si>
  <si>
    <t xml:space="preserve">Bacillus cereus </t>
  </si>
  <si>
    <r>
      <rPr>
        <sz val="11"/>
        <color theme="1"/>
        <rFont val="Arial"/>
        <family val="2"/>
      </rPr>
      <t>&lt;10</t>
    </r>
    <r>
      <rPr>
        <vertAlign val="superscript"/>
        <sz val="11"/>
        <color theme="1"/>
        <rFont val="Arial"/>
        <family val="2"/>
      </rPr>
      <t>3</t>
    </r>
  </si>
  <si>
    <t>Bacillus spp.</t>
  </si>
  <si>
    <t>Clostridium perfringens</t>
  </si>
  <si>
    <t>&lt;10</t>
  </si>
  <si>
    <t>Staphylococcus aureus and other coagulase-positive staphylococci</t>
  </si>
  <si>
    <t>13.Acceptance and Rejection standard</t>
  </si>
  <si>
    <r>
      <rPr>
        <b/>
        <sz val="12"/>
        <color theme="1"/>
        <rFont val="Calibri Light"/>
        <family val="2"/>
        <scheme val="major"/>
      </rP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</si>
  <si>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</si>
  <si>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</si>
  <si>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Appearance:Clear dark reddish brown
Taste:Soy sauce aroma taste
Texture: Liquid</t>
  </si>
  <si>
    <t>Appearance: Not clear dark reddish brown
Taste: Without soy sauce aroma taste
Texture: Muddy liquid</t>
  </si>
  <si>
    <t xml:space="preserve">14.Quantity Attributes </t>
  </si>
  <si>
    <t>Unit (kg)</t>
  </si>
  <si>
    <t>Case (kg)</t>
  </si>
  <si>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</si>
  <si>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</si>
  <si>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</si>
  <si>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</si>
  <si>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</si>
  <si>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請提供包裝的報告</t>
  </si>
  <si>
    <t xml:space="preserve">15.Packaging Weight Dimensions </t>
  </si>
  <si>
    <t>Description/Color</t>
  </si>
  <si>
    <t>Materials
*please indicate the plastic material from below 01-07</t>
  </si>
  <si>
    <t>Weight 
(g)</t>
  </si>
  <si>
    <t xml:space="preserve">Dimensions
(mm)  </t>
  </si>
  <si>
    <t>Primary：</t>
  </si>
  <si>
    <t>plastic bottle</t>
  </si>
  <si>
    <t>bottle body: 01;        bottle cap: 04</t>
  </si>
  <si>
    <t>L</t>
  </si>
  <si>
    <t>W</t>
  </si>
  <si>
    <t>H</t>
  </si>
  <si>
    <t>Secondary:</t>
  </si>
  <si>
    <t>brown</t>
  </si>
  <si>
    <t>Corrugated paper carton</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</si>
  <si>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</si>
  <si>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</si>
  <si>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</si>
  <si>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</si>
  <si>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</si>
  <si>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</si>
  <si>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</si>
  <si>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</si>
  <si>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</si>
  <si>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</si>
  <si>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</si>
  <si>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height must lower than 1.75m &amp;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</si>
  <si>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</si>
  <si>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</si>
  <si>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18.Critical Control Points</t>
  </si>
  <si>
    <t>CCP</t>
  </si>
  <si>
    <t>Control Measure</t>
  </si>
  <si>
    <t>Critical Limit</t>
  </si>
  <si>
    <t>Monitoring Frequency</t>
  </si>
  <si>
    <t>CCP1</t>
  </si>
  <si>
    <t>Sterilization</t>
  </si>
  <si>
    <t>CL:125-128℃, at leat 35mins</t>
  </si>
  <si>
    <t>CCP2</t>
  </si>
  <si>
    <t>CL: above 98℃ at leat 35mins</t>
  </si>
  <si>
    <t>CCP3</t>
  </si>
  <si>
    <t>1. Plate and frame sterilizer, sterilizing temperature 115-125 ° C, frequency: 33-37 Hz. 2. Coil sterilizer: organic product: heated to 60-70 ° C, maintained for 30 minutes and then continued to heat to 98 ° C or above boiling, maintained for 15 minutes. Non-organic products: heated to 98 ° C or above and boiling for 15 minutes</t>
  </si>
  <si>
    <t>CCP4</t>
  </si>
  <si>
    <t>Secondary heating</t>
  </si>
  <si>
    <t>Heat to 60-70 ° C for 15 minutes。</t>
  </si>
  <si>
    <t>CCP5</t>
  </si>
  <si>
    <t>Filter silk</t>
  </si>
  <si>
    <t>Double 80 mesh silk filter before filling</t>
  </si>
  <si>
    <t>19.Artwork</t>
  </si>
  <si>
    <t>Inner Label / Package Design artwork</t>
  </si>
  <si>
    <t>Outer Label / Package Design artwork</t>
  </si>
  <si>
    <t>To be provided by the first order</t>
  </si>
  <si>
    <t>20.Packaging Photos</t>
  </si>
  <si>
    <t>Finished Product with Primary package</t>
  </si>
  <si>
    <t>Outer Case (Secondary)</t>
  </si>
  <si>
    <t>Tertiary</t>
  </si>
  <si>
    <t>Specification Authorization</t>
  </si>
  <si>
    <t>1.Product to be supplied in accordance with this agreed specification. No changes are to be made without prior knowledge and prior written agreement of The Basic Ingredients Ltd technical department.
2.The contents of this specification are confidential and should not be disclosed to a third party without a written approval of The Basic Ingredients Ltd technical department.</t>
  </si>
  <si>
    <t>Manufacture Name</t>
  </si>
  <si>
    <t>INNER MONGOLIA KIND WANJIA FOODS.,CO., LTD</t>
  </si>
  <si>
    <t>Signature</t>
  </si>
  <si>
    <t>Print Name</t>
  </si>
  <si>
    <t>张春红</t>
  </si>
  <si>
    <t>Position in Company</t>
  </si>
  <si>
    <t>VICE PREISIDENT</t>
  </si>
  <si>
    <t>Date</t>
  </si>
  <si>
    <t xml:space="preserve">The Basic ingredients team use only </t>
  </si>
  <si>
    <t>Nancy Deng</t>
  </si>
  <si>
    <t>Technical Account Manager</t>
  </si>
  <si>
    <t>Ecommerce Content</t>
  </si>
  <si>
    <t>Title</t>
  </si>
  <si>
    <t>Emma Basic Gluten Free &amp; Reduced Salt Soy Sauce 1 Litre | Umami |Vegan |No Additives|</t>
  </si>
  <si>
    <t>Selling Points</t>
  </si>
  <si>
    <t xml:space="preserve">✅ UMAMI: Naturally brewed from fermented soybean, a rich sauce of Umami. A must-have ingredient for home cooking. </t>
  </si>
  <si>
    <t xml:space="preserve">✅ GLUTEN-FREE: It's good news for people allergic to gluten or suffering from celiac disease, as soy sauce made of soybean is much better taste than those made of wheat or corn. After all, it is called soy sauce, not corn sauce or wheat sauce. </t>
  </si>
  <si>
    <t xml:space="preserve">✅ CLEAN LABEL: You will not find the nasty additives commonly appear in other brands, such as colourings, MSG, potassium sorbate as preservatives, added alcohol etc. All additives have been mercilessly removed for you. </t>
  </si>
  <si>
    <t>✅ BETTER IN FRIDGE: Microbiogically, you don’t need to keep soy sauce in the fridge. Keep in a cool and dry place, away from direct sunlight. Having said that, keep soy sauce in the fridge can slow the oxidation, keep the delicious taste longer.</t>
  </si>
  <si>
    <t>Keywords</t>
  </si>
  <si>
    <t>soy sauce, kikkoman soy sauce, soya sauce, light soy sauce, dark soy sauce, soy sauce kikkoman, japanese soy sauce, soya sauce kikkoman, japanese grocery, soy souce, kikkoman soy sauce 1l</t>
  </si>
  <si>
    <t xml:space="preserve">Product description </t>
  </si>
  <si>
    <t>WARRANTY STATEMENT</t>
  </si>
  <si>
    <t>1. The supplier must inform The Basic Ingredients (TBI)  in writing any changes before production. No changes is to be made without written approval from TBI.</t>
  </si>
  <si>
    <t>2. Product to be supplied must comply with this agreed specification.</t>
  </si>
  <si>
    <t>3. Product must be fit for purpose of the nature and substance stated in this specification and free from extraneous and foreign matter.</t>
  </si>
  <si>
    <t>4. The raw materials used in this product fulfil the requirements described in the Regulation 1881/2006/EC related to contaminants in foodstuffs, the Regulation 396/2005/EC related to pesticides in foodstuffs, and their amendments.</t>
  </si>
  <si>
    <t>5. The product has not been treated with ionising radiation and does not contain any irradiated ingredients - Regulated under Directive 1999/2/EC and Directive 1999/3/EC.</t>
  </si>
  <si>
    <t>6. This product does not contain ingredients that contain GMO or consist of GMO or were produced from GMO - Regulated under Regulation (EC) No 1829/2003, Regulation (EC) No 1830/2003, and their amendments.</t>
  </si>
  <si>
    <t>7. Products to be delivered using suitable transport in the stated conditions (i.e. ambient, chilled, frozen)</t>
  </si>
  <si>
    <t>8. The information on this specification can be used without reservation to advise customers with food allergies, intolerances or aversions, especially those who may die from an anaphylactic reaction to minute traces of ingredients.</t>
  </si>
  <si>
    <t>9. All materials intended to come into contact with foods complies with European regulations: Regulation (EC) No. 1935/2004, Regulation (EC) No. 2023/2006, Regulation (EU) No. 10/2011 (including subsequent amendments), and also with Directives 82/711/EEC, 85/572/EEC, 2002/72/EEC (including subsequent amendments).</t>
  </si>
  <si>
    <t>✅ REDUCED SALT: Most soy sauce contains 15g salt per 100g. We managed to reduce to 10.8g salt per 100g. NHS recommend taking no more than 6g of salt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</si>
</sst>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_ "/>
    <numFmt numFmtId="165" formatCode="0.0"/>
  </numFmts>
  <fonts count="43">
    <font>
      <sz val="11"/>
      <color theme="1"/>
      <name val="Calibri"/>
      <charset val="134"/>
      <scheme val="minor"/>
    </font>
    <font>
      <sz val="10"/>
      <color theme="1"/>
      <name val="Arial Narrow"/>
      <family val="2"/>
    </font>
    <font>
      <b/>
      <u/>
      <sz val="10"/>
      <color theme="1"/>
      <name val="Arial Narrow"/>
      <family val="2"/>
    </font>
    <font>
      <b/>
      <sz val="10"/>
      <color theme="1"/>
      <name val="Arial Narrow"/>
      <family val="2"/>
    </font>
    <font>
      <sz val="11"/>
      <color theme="1"/>
      <name val="Calibri Light"/>
      <family val="2"/>
      <scheme val="major"/>
    </font>
    <font>
      <b/>
      <sz val="14"/>
      <color theme="1"/>
      <name val="Calibri Light"/>
      <family val="2"/>
      <scheme val="major"/>
    </font>
    <font>
      <sz val="11"/>
      <color theme="1"/>
      <name val="Futura Bk BT"/>
      <family val="2"/>
    </font>
    <font>
      <b/>
      <sz val="11"/>
      <color rgb="FF000000"/>
      <name val="Futura Bk BT"/>
      <family val="2"/>
    </font>
    <font>
      <sz val="10"/>
      <color rgb="FF212B36"/>
      <name val="Segoe UI"/>
      <family val="2"/>
    </font>
    <font>
      <sz val="10"/>
      <color theme="1"/>
      <name val="Calibri Light"/>
      <family val="2"/>
      <scheme val="major"/>
    </font>
    <font>
      <i/>
      <sz val="11"/>
      <color rgb="FFFF0000"/>
      <name val="Calibri Light"/>
      <family val="2"/>
      <scheme val="major"/>
    </font>
    <font>
      <sz val="12"/>
      <color theme="1"/>
      <name val="Calibri Light"/>
      <family val="2"/>
      <scheme val="major"/>
    </font>
    <font>
      <sz val="11"/>
      <name val="Calibri Light"/>
      <family val="2"/>
      <scheme val="major"/>
    </font>
    <font>
      <b/>
      <sz val="11"/>
      <color theme="1"/>
      <name val="Calibri Light"/>
      <family val="2"/>
      <scheme val="major"/>
    </font>
    <font>
      <b/>
      <sz val="10"/>
      <color rgb="FFFF0000"/>
      <name val="Calibri Light"/>
      <family val="2"/>
      <scheme val="major"/>
    </font>
    <font>
      <b/>
      <sz val="12"/>
      <color theme="1"/>
      <name val="Calibri Light"/>
      <family val="2"/>
      <scheme val="major"/>
    </font>
    <font>
      <sz val="11"/>
      <color rgb="FFFF0000"/>
      <name val="Calibri Light"/>
      <family val="2"/>
      <scheme val="major"/>
    </font>
    <font>
      <i/>
      <sz val="11"/>
      <color theme="1"/>
      <name val="Calibri Light"/>
      <family val="2"/>
      <scheme val="major"/>
    </font>
    <font>
      <sz val="11"/>
      <color theme="0"/>
      <name val="Calibri Light"/>
      <family val="2"/>
      <scheme val="major"/>
    </font>
    <font>
      <sz val="14"/>
      <color theme="1"/>
      <name val="Calibri Light"/>
      <family val="2"/>
      <scheme val="major"/>
    </font>
    <font>
      <sz val="12"/>
      <name val="Calibri Light"/>
      <family val="2"/>
      <scheme val="major"/>
    </font>
    <font>
      <sz val="14"/>
      <name val="Calibri Light"/>
      <family val="2"/>
      <scheme val="major"/>
    </font>
    <font>
      <i/>
      <sz val="10"/>
      <color rgb="FFFF0000"/>
      <name val="Calibri Light"/>
      <family val="2"/>
      <scheme val="major"/>
    </font>
    <font>
      <sz val="12"/>
      <color rgb="FF000000"/>
      <name val="Calibri Light"/>
      <family val="2"/>
      <scheme val="major"/>
    </font>
    <font>
      <b/>
      <sz val="11"/>
      <color rgb="FF000000"/>
      <name val="Arial"/>
      <family val="2"/>
    </font>
    <font>
      <sz val="11"/>
      <color rgb="FF000000"/>
      <name val="Arial"/>
      <family val="2"/>
    </font>
    <font>
      <sz val="11"/>
      <color theme="1"/>
      <name val="Arial"/>
      <family val="2"/>
    </font>
    <font>
      <b/>
      <sz val="12"/>
      <color rgb="FF000000"/>
      <name val="Calibri Light"/>
      <family val="2"/>
      <scheme val="major"/>
    </font>
    <font>
      <sz val="8"/>
      <color rgb="FF000000"/>
      <name val="Calibri Light"/>
      <family val="2"/>
      <scheme val="major"/>
    </font>
    <font>
      <b/>
      <sz val="9"/>
      <color theme="1"/>
      <name val="Calibri Light"/>
      <family val="2"/>
      <scheme val="major"/>
    </font>
    <font>
      <sz val="8"/>
      <color theme="1"/>
      <name val="Calibri Light"/>
      <family val="2"/>
      <scheme val="major"/>
    </font>
    <font>
      <sz val="9"/>
      <color theme="1"/>
      <name val="Calibri Light"/>
      <family val="2"/>
      <scheme val="major"/>
    </font>
    <font>
      <b/>
      <sz val="12"/>
      <name val="Calibri Light"/>
      <family val="2"/>
      <scheme val="major"/>
    </font>
    <font>
      <sz val="12"/>
      <color theme="0"/>
      <name val="Calibri Light"/>
      <family val="2"/>
      <scheme val="major"/>
    </font>
    <font>
      <b/>
      <sz val="11"/>
      <color rgb="FF000000"/>
      <name val="宋体"/>
      <charset val="134"/>
    </font>
    <font>
      <vertAlign val="superscript"/>
      <sz val="11"/>
      <color theme="1"/>
      <name val="Arial"/>
      <family val="2"/>
    </font>
    <font>
      <sz val="11"/>
      <color theme="1"/>
      <name val="宋体"/>
      <charset val="134"/>
    </font>
    <font>
      <vertAlign val="superscript"/>
      <sz val="11"/>
      <color theme="1"/>
      <name val="宋体"/>
      <charset val="134"/>
    </font>
    <font>
      <b/>
      <sz val="8"/>
      <color theme="1"/>
      <name val="Calibri Light"/>
      <family val="2"/>
      <scheme val="major"/>
    </font>
    <font>
      <sz val="8"/>
      <color rgb="FFFF0000"/>
      <name val="Calibri Light"/>
      <family val="2"/>
      <scheme val="major"/>
    </font>
    <font>
      <b/>
      <sz val="8"/>
      <color rgb="FFFF0000"/>
      <name val="Calibri Light"/>
      <family val="2"/>
      <scheme val="major"/>
    </font>
    <font>
      <sz val="11"/>
      <color theme="1"/>
      <name val="Calibri"/>
      <family val="2"/>
      <scheme val="minor"/>
    </font>
    <font>
      <sz val="11"/>
      <color theme="1"/>
      <name val="Calibri"/>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0"/>
        <bgColor indexed="64"/>
      </patternFill>
    </fill>
    <fill>
      <patternFill patternType="solid">
        <fgColor theme="8" tint="0.79992065187536243"/>
        <bgColor indexed="64"/>
      </patternFill>
    </fill>
    <fill>
      <patternFill patternType="solid">
        <fgColor theme="0" tint="-0.14993743705557422"/>
        <bgColor indexed="64"/>
      </patternFill>
    </fill>
    <fill>
      <patternFill patternType="solid">
        <fgColor theme="0" tint="-0.14990691854609822"/>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diagonal/>
    </border>
    <border>
      <left/>
      <right/>
      <top style="hair">
        <color auto="1"/>
      </top>
      <bottom style="thin">
        <color auto="1"/>
      </bottom>
      <diagonal/>
    </border>
  </borders>
  <cellStyleXfs count="3">
    <xf numFmtId="0" fontId="0" fillId="0" borderId="0"/>
    <xf numFmtId="0" fontId="41" fillId="0" borderId="0"/>
    <xf numFmtId="9" fontId="42" fillId="0" borderId="0" applyFont="0" applyFill="0" applyBorder="0" applyAlignment="0" applyProtection="0"/>
  </cellStyleXfs>
  <cellXfs count="22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wrapText="1"/>
    </xf>
    <xf numFmtId="0" fontId="4" fillId="0" borderId="0" xfId="0" applyFont="1"/>
    <xf numFmtId="0" fontId="3" fillId="0" borderId="0" xfId="0" applyFont="1" applyAlignment="1">
      <alignment horizontal="left" vertical="center" indent="2"/>
    </xf>
    <xf numFmtId="0" fontId="3" fillId="0" borderId="0" xfId="0" applyFont="1" applyAlignment="1">
      <alignment vertical="center"/>
    </xf>
    <xf numFmtId="0" fontId="5" fillId="0" borderId="0" xfId="0" applyFont="1" applyAlignment="1">
      <alignment vertical="center"/>
    </xf>
    <xf numFmtId="0" fontId="5" fillId="0" borderId="0" xfId="0" applyFont="1"/>
    <xf numFmtId="0" fontId="4" fillId="2" borderId="1" xfId="0" applyFont="1" applyFill="1" applyBorder="1" applyAlignment="1">
      <alignment vertical="center" wrapText="1"/>
    </xf>
    <xf numFmtId="0" fontId="6"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8" fillId="0" borderId="1" xfId="0" applyFont="1" applyBorder="1" applyAlignment="1">
      <alignment vertical="center" wrapText="1"/>
    </xf>
    <xf numFmtId="0" fontId="6" fillId="0" borderId="1" xfId="1" applyFont="1" applyBorder="1" applyAlignment="1">
      <alignment horizontal="left" vertical="center" wrapText="1"/>
    </xf>
    <xf numFmtId="0" fontId="4" fillId="0" borderId="0" xfId="0" applyFont="1" applyAlignment="1">
      <alignment vertical="center"/>
    </xf>
    <xf numFmtId="0" fontId="5" fillId="0" borderId="0" xfId="0" applyFont="1" applyAlignment="1">
      <alignment horizontal="left"/>
    </xf>
    <xf numFmtId="0" fontId="9" fillId="0" borderId="0" xfId="0" applyFont="1" applyAlignment="1">
      <alignment horizontal="left" vertical="center" wrapText="1"/>
    </xf>
    <xf numFmtId="0" fontId="10" fillId="0" borderId="0" xfId="0" applyFont="1" applyAlignment="1">
      <alignment horizontal="left" vertical="top"/>
    </xf>
    <xf numFmtId="0" fontId="11" fillId="2" borderId="1" xfId="0" applyFont="1" applyFill="1" applyBorder="1" applyAlignment="1">
      <alignment horizontal="center" vertical="center" wrapText="1"/>
    </xf>
    <xf numFmtId="0" fontId="11" fillId="0" borderId="0" xfId="0" applyFont="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12" fillId="0" borderId="0" xfId="0" applyFont="1"/>
    <xf numFmtId="0" fontId="4" fillId="0" borderId="0" xfId="0" applyFont="1" applyAlignment="1">
      <alignment horizontal="center" vertical="center" wrapText="1"/>
    </xf>
    <xf numFmtId="0" fontId="4" fillId="0" borderId="0" xfId="0" applyFont="1" applyAlignment="1">
      <alignment horizontal="center" vertical="center"/>
    </xf>
    <xf numFmtId="0" fontId="13" fillId="2" borderId="1" xfId="0" applyFont="1" applyFill="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wrapText="1"/>
    </xf>
    <xf numFmtId="0" fontId="4" fillId="0" borderId="0" xfId="0" applyFont="1" applyAlignment="1">
      <alignment vertical="center" wrapText="1"/>
    </xf>
    <xf numFmtId="0" fontId="15" fillId="0" borderId="0" xfId="0" applyFont="1" applyAlignment="1">
      <alignment horizontal="left" vertical="center" wrapText="1"/>
    </xf>
    <xf numFmtId="0" fontId="4" fillId="4" borderId="1" xfId="0" applyFont="1" applyFill="1" applyBorder="1" applyAlignment="1">
      <alignment vertical="center" wrapText="1"/>
    </xf>
    <xf numFmtId="0" fontId="4" fillId="0" borderId="0" xfId="0" applyFont="1" applyAlignment="1">
      <alignment horizontal="left" vertical="center"/>
    </xf>
    <xf numFmtId="0" fontId="4" fillId="0" borderId="1" xfId="0" applyFont="1" applyBorder="1" applyAlignment="1">
      <alignment vertical="center"/>
    </xf>
    <xf numFmtId="0" fontId="4" fillId="2" borderId="1" xfId="0" applyFont="1" applyFill="1" applyBorder="1" applyAlignment="1">
      <alignment horizontal="center" vertical="center"/>
    </xf>
    <xf numFmtId="164" fontId="12" fillId="5" borderId="1" xfId="0" applyNumberFormat="1" applyFont="1" applyFill="1" applyBorder="1" applyAlignment="1">
      <alignment horizontal="center" vertical="center"/>
    </xf>
    <xf numFmtId="0" fontId="12" fillId="0" borderId="1" xfId="0" applyFont="1" applyBorder="1" applyAlignment="1">
      <alignment horizontal="center" vertical="center"/>
    </xf>
    <xf numFmtId="0" fontId="12" fillId="5" borderId="1" xfId="0" applyFont="1" applyFill="1" applyBorder="1" applyAlignment="1">
      <alignment horizontal="center" vertical="center"/>
    </xf>
    <xf numFmtId="0" fontId="16" fillId="0" borderId="0" xfId="0" applyFont="1" applyAlignment="1">
      <alignment vertical="center"/>
    </xf>
    <xf numFmtId="0" fontId="4" fillId="0" borderId="1" xfId="0" applyFont="1" applyBorder="1" applyAlignment="1">
      <alignment horizontal="center" vertical="center" wrapText="1"/>
    </xf>
    <xf numFmtId="0" fontId="17" fillId="0" borderId="0" xfId="0" applyFont="1" applyAlignment="1">
      <alignment horizontal="left" vertical="center"/>
    </xf>
    <xf numFmtId="0" fontId="12" fillId="5" borderId="1" xfId="0" applyFont="1" applyFill="1" applyBorder="1" applyAlignment="1">
      <alignment horizontal="center" vertical="center" wrapText="1"/>
    </xf>
    <xf numFmtId="0" fontId="18" fillId="5" borderId="0" xfId="0" applyFont="1" applyFill="1" applyAlignment="1">
      <alignment vertical="center"/>
    </xf>
    <xf numFmtId="0" fontId="12" fillId="5" borderId="0" xfId="0" applyFont="1" applyFill="1" applyAlignment="1">
      <alignment vertical="center"/>
    </xf>
    <xf numFmtId="0" fontId="20" fillId="0" borderId="2" xfId="0" applyFont="1" applyBorder="1" applyAlignment="1">
      <alignment horizontal="center" vertical="center"/>
    </xf>
    <xf numFmtId="0" fontId="21" fillId="0" borderId="3" xfId="0" applyFont="1" applyBorder="1" applyAlignment="1">
      <alignment horizontal="left" vertical="center"/>
    </xf>
    <xf numFmtId="0" fontId="9" fillId="2" borderId="1" xfId="0" applyFont="1" applyFill="1" applyBorder="1" applyAlignment="1">
      <alignment vertical="center"/>
    </xf>
    <xf numFmtId="0" fontId="21" fillId="0" borderId="0" xfId="0" applyFont="1" applyAlignment="1">
      <alignment horizontal="center" vertical="center"/>
    </xf>
    <xf numFmtId="0" fontId="20" fillId="0" borderId="0" xfId="0" applyFont="1" applyAlignment="1">
      <alignment horizontal="center" vertical="center"/>
    </xf>
    <xf numFmtId="0" fontId="21" fillId="0" borderId="0" xfId="0" applyFont="1" applyAlignment="1">
      <alignment horizontal="left" vertical="center"/>
    </xf>
    <xf numFmtId="0" fontId="4" fillId="0" borderId="0" xfId="0" applyFont="1" applyAlignment="1">
      <alignment horizontal="right" vertical="center"/>
    </xf>
    <xf numFmtId="0" fontId="4" fillId="2" borderId="1" xfId="0" applyFont="1" applyFill="1" applyBorder="1" applyAlignment="1">
      <alignment vertical="center"/>
    </xf>
    <xf numFmtId="0" fontId="4" fillId="7" borderId="1" xfId="0" applyFont="1" applyFill="1" applyBorder="1" applyAlignment="1">
      <alignment horizontal="center" vertical="center"/>
    </xf>
    <xf numFmtId="165" fontId="4" fillId="7" borderId="1" xfId="0" applyNumberFormat="1" applyFont="1" applyFill="1" applyBorder="1" applyAlignment="1">
      <alignment horizontal="center" vertical="center"/>
    </xf>
    <xf numFmtId="0" fontId="22" fillId="0" borderId="0" xfId="0" applyFont="1" applyAlignment="1">
      <alignment horizontal="left" vertical="center"/>
    </xf>
    <xf numFmtId="0" fontId="22" fillId="0" borderId="0" xfId="0" applyFont="1" applyAlignment="1">
      <alignment vertical="center"/>
    </xf>
    <xf numFmtId="0" fontId="0" fillId="0" borderId="0" xfId="0" applyAlignment="1">
      <alignment horizontal="left" vertical="center" wrapText="1"/>
    </xf>
    <xf numFmtId="0" fontId="11" fillId="8"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4" fillId="7" borderId="3" xfId="0" applyFont="1" applyFill="1" applyBorder="1" applyAlignment="1">
      <alignment horizontal="left" vertical="center"/>
    </xf>
    <xf numFmtId="0" fontId="4" fillId="5" borderId="0" xfId="0" applyFont="1" applyFill="1" applyAlignment="1">
      <alignment vertical="center"/>
    </xf>
    <xf numFmtId="0" fontId="0" fillId="5" borderId="0" xfId="0" applyFill="1" applyAlignment="1">
      <alignment horizontal="left" vertical="center" wrapText="1"/>
    </xf>
    <xf numFmtId="0" fontId="4" fillId="5" borderId="1" xfId="0" applyFont="1" applyFill="1" applyBorder="1" applyAlignment="1">
      <alignment horizontal="center" vertical="center"/>
    </xf>
    <xf numFmtId="0" fontId="0" fillId="0" borderId="0" xfId="0" applyAlignment="1">
      <alignment horizontal="left" wrapText="1"/>
    </xf>
    <xf numFmtId="0" fontId="10" fillId="0" borderId="0" xfId="0" applyFont="1"/>
    <xf numFmtId="0" fontId="24" fillId="0" borderId="1" xfId="0" applyFont="1" applyBorder="1" applyAlignment="1">
      <alignment horizontal="center" vertical="center" wrapText="1"/>
    </xf>
    <xf numFmtId="0" fontId="24" fillId="5"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5" fillId="2" borderId="1" xfId="0" applyFont="1" applyFill="1" applyBorder="1" applyAlignment="1">
      <alignment vertical="center" wrapText="1"/>
    </xf>
    <xf numFmtId="0" fontId="25" fillId="0" borderId="1" xfId="0" applyFont="1" applyBorder="1" applyAlignment="1">
      <alignment horizontal="center" vertical="center" wrapText="1"/>
    </xf>
    <xf numFmtId="0" fontId="26" fillId="5" borderId="1" xfId="0" applyFont="1" applyFill="1" applyBorder="1" applyAlignment="1">
      <alignment horizontal="center" vertical="center" wrapText="1"/>
    </xf>
    <xf numFmtId="0" fontId="18" fillId="5" borderId="0" xfId="0" applyFont="1" applyFill="1"/>
    <xf numFmtId="0" fontId="26" fillId="0" borderId="1" xfId="0" applyFont="1" applyBorder="1" applyAlignment="1">
      <alignment horizontal="center" vertical="center" wrapText="1"/>
    </xf>
    <xf numFmtId="0" fontId="4" fillId="0" borderId="0" xfId="0" applyFont="1" applyAlignment="1">
      <alignment horizontal="left"/>
    </xf>
    <xf numFmtId="0" fontId="29" fillId="2" borderId="5" xfId="0" applyFont="1" applyFill="1" applyBorder="1" applyAlignment="1">
      <alignment horizontal="center" vertical="center" wrapText="1"/>
    </xf>
    <xf numFmtId="0" fontId="30" fillId="2" borderId="16" xfId="0" applyFont="1" applyFill="1" applyBorder="1" applyAlignment="1">
      <alignment horizontal="center" vertical="center" wrapText="1"/>
    </xf>
    <xf numFmtId="10" fontId="12" fillId="5" borderId="1" xfId="0" applyNumberFormat="1" applyFont="1" applyFill="1" applyBorder="1" applyAlignment="1">
      <alignment horizontal="center" vertical="center" wrapText="1"/>
    </xf>
    <xf numFmtId="0" fontId="11" fillId="5" borderId="0" xfId="0" applyFont="1" applyFill="1" applyAlignment="1">
      <alignment horizontal="right" vertical="center" indent="1"/>
    </xf>
    <xf numFmtId="10" fontId="4" fillId="5" borderId="0" xfId="0" applyNumberFormat="1" applyFont="1" applyFill="1" applyAlignment="1">
      <alignment horizontal="center" vertical="center"/>
    </xf>
    <xf numFmtId="10" fontId="4" fillId="5" borderId="0" xfId="0" applyNumberFormat="1" applyFont="1" applyFill="1" applyAlignment="1">
      <alignment vertical="center"/>
    </xf>
    <xf numFmtId="0" fontId="22" fillId="0" borderId="0" xfId="0" applyFont="1" applyAlignment="1">
      <alignment horizontal="left" vertical="center" wrapText="1"/>
    </xf>
    <xf numFmtId="10" fontId="18" fillId="0" borderId="1" xfId="0" applyNumberFormat="1" applyFont="1" applyBorder="1" applyAlignment="1">
      <alignment vertical="center"/>
    </xf>
    <xf numFmtId="0" fontId="5" fillId="0" borderId="0" xfId="0" applyFont="1" applyAlignment="1">
      <alignment vertical="center" wrapText="1"/>
    </xf>
    <xf numFmtId="0" fontId="16" fillId="0" borderId="0" xfId="0" applyFont="1"/>
    <xf numFmtId="0" fontId="18" fillId="0" borderId="0" xfId="0" applyFont="1" applyAlignment="1">
      <alignment vertical="center"/>
    </xf>
    <xf numFmtId="0" fontId="22" fillId="0" borderId="17" xfId="0" applyFont="1" applyBorder="1" applyAlignment="1">
      <alignment vertical="center"/>
    </xf>
    <xf numFmtId="0" fontId="22" fillId="0" borderId="0" xfId="0" applyFont="1" applyAlignment="1">
      <alignment vertical="center" wrapText="1"/>
    </xf>
    <xf numFmtId="0" fontId="10" fillId="0" borderId="0" xfId="0" applyFont="1" applyAlignment="1">
      <alignment vertical="center"/>
    </xf>
    <xf numFmtId="0" fontId="11" fillId="2" borderId="6"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1" xfId="0" applyFont="1" applyFill="1" applyBorder="1" applyAlignment="1">
      <alignment vertical="center"/>
    </xf>
    <xf numFmtId="0" fontId="4" fillId="5" borderId="1" xfId="0" applyFont="1" applyFill="1" applyBorder="1" applyAlignment="1">
      <alignment vertical="center"/>
    </xf>
    <xf numFmtId="0" fontId="9" fillId="2" borderId="1" xfId="0" applyFont="1" applyFill="1" applyBorder="1" applyAlignment="1">
      <alignment vertical="center" wrapText="1"/>
    </xf>
    <xf numFmtId="0" fontId="11" fillId="0" borderId="0" xfId="0" applyFont="1" applyAlignment="1">
      <alignment vertical="center" wrapText="1"/>
    </xf>
    <xf numFmtId="0" fontId="11" fillId="2" borderId="1" xfId="0" applyFont="1" applyFill="1" applyBorder="1" applyAlignment="1">
      <alignment vertical="center" wrapText="1"/>
    </xf>
    <xf numFmtId="0" fontId="22" fillId="0" borderId="2" xfId="0" applyFont="1" applyBorder="1" applyAlignment="1">
      <alignment horizontal="right" vertical="center" wrapText="1"/>
    </xf>
    <xf numFmtId="0" fontId="22" fillId="2" borderId="1" xfId="0" applyFont="1" applyFill="1" applyBorder="1" applyAlignment="1">
      <alignment horizontal="right" vertical="center" wrapText="1"/>
    </xf>
    <xf numFmtId="0" fontId="12" fillId="0" borderId="1" xfId="0" applyFont="1" applyBorder="1" applyAlignment="1">
      <alignment horizontal="center" vertical="center" wrapText="1"/>
    </xf>
    <xf numFmtId="0" fontId="12" fillId="7" borderId="1" xfId="0" applyFont="1" applyFill="1" applyBorder="1" applyAlignment="1">
      <alignment horizontal="center" vertical="center"/>
    </xf>
    <xf numFmtId="0" fontId="11" fillId="2" borderId="1" xfId="0" quotePrefix="1" applyFont="1" applyFill="1" applyBorder="1" applyAlignment="1">
      <alignment vertical="center"/>
    </xf>
    <xf numFmtId="9" fontId="4" fillId="0" borderId="0" xfId="2" applyFont="1" applyAlignment="1">
      <alignment vertical="center"/>
    </xf>
    <xf numFmtId="0" fontId="15" fillId="2" borderId="6" xfId="0" applyFont="1" applyFill="1" applyBorder="1" applyAlignment="1">
      <alignment horizontal="center" vertical="center"/>
    </xf>
    <xf numFmtId="0" fontId="15" fillId="2" borderId="7" xfId="0" applyFont="1" applyFill="1" applyBorder="1" applyAlignment="1">
      <alignment horizontal="center" vertical="center"/>
    </xf>
    <xf numFmtId="0" fontId="30" fillId="2" borderId="14" xfId="0" applyFont="1" applyFill="1" applyBorder="1" applyAlignment="1">
      <alignment horizontal="center" vertical="center" wrapText="1"/>
    </xf>
    <xf numFmtId="0" fontId="30" fillId="2" borderId="15" xfId="0" applyFont="1" applyFill="1" applyBorder="1" applyAlignment="1">
      <alignment horizontal="center" vertical="center" wrapText="1"/>
    </xf>
    <xf numFmtId="0" fontId="31" fillId="2" borderId="14" xfId="0" applyFont="1" applyFill="1" applyBorder="1" applyAlignment="1">
      <alignment horizontal="center" vertical="center" wrapText="1"/>
    </xf>
    <xf numFmtId="0" fontId="31" fillId="2" borderId="15" xfId="0" applyFont="1" applyFill="1" applyBorder="1" applyAlignment="1">
      <alignment horizontal="center" vertical="center" wrapText="1"/>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10" fontId="12" fillId="5" borderId="2" xfId="0" applyNumberFormat="1" applyFont="1" applyFill="1" applyBorder="1" applyAlignment="1">
      <alignment horizontal="left" vertical="center" wrapText="1"/>
    </xf>
    <xf numFmtId="10" fontId="12" fillId="5" borderId="3" xfId="0" applyNumberFormat="1" applyFont="1" applyFill="1" applyBorder="1" applyAlignment="1">
      <alignment horizontal="left" vertical="center" wrapText="1"/>
    </xf>
    <xf numFmtId="10" fontId="12" fillId="0" borderId="2" xfId="0" applyNumberFormat="1" applyFont="1" applyBorder="1" applyAlignment="1">
      <alignment horizontal="left" vertical="center" wrapText="1"/>
    </xf>
    <xf numFmtId="10" fontId="12" fillId="0" borderId="3" xfId="0" applyNumberFormat="1" applyFont="1" applyBorder="1" applyAlignment="1">
      <alignment horizontal="left" vertical="center" wrapText="1"/>
    </xf>
    <xf numFmtId="0" fontId="13" fillId="2" borderId="1" xfId="0" applyFont="1" applyFill="1" applyBorder="1" applyAlignment="1">
      <alignment horizontal="left" vertical="center"/>
    </xf>
    <xf numFmtId="10" fontId="4" fillId="0" borderId="1" xfId="0" applyNumberFormat="1" applyFont="1" applyBorder="1" applyAlignment="1">
      <alignment horizontal="center" vertical="center"/>
    </xf>
    <xf numFmtId="0" fontId="15"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32" fillId="0" borderId="2" xfId="0" applyFont="1" applyBorder="1" applyAlignment="1">
      <alignment horizontal="left" vertical="center" wrapText="1"/>
    </xf>
    <xf numFmtId="0" fontId="32" fillId="0" borderId="3" xfId="0" applyFont="1" applyBorder="1" applyAlignment="1">
      <alignment horizontal="left" vertical="center" wrapText="1"/>
    </xf>
    <xf numFmtId="0" fontId="20" fillId="5" borderId="2" xfId="0" applyFont="1" applyFill="1" applyBorder="1" applyAlignment="1">
      <alignment horizontal="center" vertical="center" wrapText="1"/>
    </xf>
    <xf numFmtId="0" fontId="20" fillId="5" borderId="3" xfId="0" applyFont="1" applyFill="1" applyBorder="1" applyAlignment="1">
      <alignment horizontal="center" vertical="center" wrapText="1"/>
    </xf>
    <xf numFmtId="0" fontId="20" fillId="0" borderId="2" xfId="0" applyFont="1" applyBorder="1" applyAlignment="1">
      <alignment horizontal="left" vertical="center" wrapText="1"/>
    </xf>
    <xf numFmtId="0" fontId="20" fillId="0" borderId="3" xfId="0" applyFont="1" applyBorder="1" applyAlignment="1">
      <alignment horizontal="left" vertical="center" wrapText="1"/>
    </xf>
    <xf numFmtId="0" fontId="22" fillId="2" borderId="14" xfId="0" applyFont="1" applyFill="1" applyBorder="1" applyAlignment="1">
      <alignment horizontal="right" vertical="center" wrapText="1"/>
    </xf>
    <xf numFmtId="0" fontId="22" fillId="2" borderId="18" xfId="0" applyFont="1" applyFill="1" applyBorder="1" applyAlignment="1">
      <alignment horizontal="right" vertical="center" wrapText="1"/>
    </xf>
    <xf numFmtId="0" fontId="22" fillId="2" borderId="15" xfId="0" applyFont="1" applyFill="1" applyBorder="1" applyAlignment="1">
      <alignment horizontal="right" vertical="center" wrapText="1"/>
    </xf>
    <xf numFmtId="0" fontId="11" fillId="0" borderId="2" xfId="0" applyFont="1" applyBorder="1" applyAlignment="1">
      <alignment horizontal="left" vertical="center" wrapText="1"/>
    </xf>
    <xf numFmtId="0" fontId="11" fillId="0" borderId="4" xfId="0" applyFont="1" applyBorder="1" applyAlignment="1">
      <alignment horizontal="left" vertical="center" wrapText="1"/>
    </xf>
    <xf numFmtId="0" fontId="11" fillId="0" borderId="3" xfId="0" applyFont="1" applyBorder="1" applyAlignment="1">
      <alignment horizontal="left" vertical="center" wrapText="1"/>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15" fillId="2" borderId="5"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22" fillId="0" borderId="0" xfId="0" applyFont="1" applyAlignment="1">
      <alignment horizontal="left" vertical="center" wrapText="1"/>
    </xf>
    <xf numFmtId="0" fontId="11" fillId="2" borderId="6"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4" fillId="0" borderId="1" xfId="0" applyFont="1" applyBorder="1" applyAlignment="1">
      <alignment horizontal="left" vertical="center" wrapText="1"/>
    </xf>
    <xf numFmtId="0" fontId="4" fillId="5" borderId="1" xfId="0" quotePrefix="1" applyFont="1" applyFill="1" applyBorder="1" applyAlignment="1">
      <alignment horizontal="left" vertical="center" wrapText="1"/>
    </xf>
    <xf numFmtId="0" fontId="4" fillId="5" borderId="1" xfId="0" applyFont="1" applyFill="1" applyBorder="1" applyAlignment="1">
      <alignment horizontal="left" vertical="center" wrapText="1"/>
    </xf>
    <xf numFmtId="1" fontId="4" fillId="0" borderId="1" xfId="0" applyNumberFormat="1" applyFont="1" applyBorder="1" applyAlignment="1">
      <alignment horizontal="left" vertical="center" wrapText="1"/>
    </xf>
    <xf numFmtId="0" fontId="5" fillId="0" borderId="13" xfId="0" applyFont="1" applyBorder="1" applyAlignment="1">
      <alignment horizontal="left"/>
    </xf>
    <xf numFmtId="0" fontId="5" fillId="0" borderId="0" xfId="0" applyFont="1" applyAlignment="1">
      <alignment horizontal="left"/>
    </xf>
    <xf numFmtId="0" fontId="20" fillId="2" borderId="1" xfId="0" applyFont="1" applyFill="1" applyBorder="1" applyAlignment="1">
      <alignment horizontal="left" vertical="center" wrapText="1"/>
    </xf>
    <xf numFmtId="0" fontId="12" fillId="0" borderId="1" xfId="0" applyFont="1" applyBorder="1" applyAlignment="1">
      <alignment horizontal="left" vertical="center" wrapText="1"/>
    </xf>
    <xf numFmtId="0" fontId="18" fillId="0" borderId="17" xfId="0" applyFont="1" applyBorder="1" applyAlignment="1">
      <alignment horizontal="left" vertical="center"/>
    </xf>
    <xf numFmtId="0" fontId="18" fillId="0" borderId="0" xfId="0" applyFont="1" applyAlignment="1">
      <alignment horizontal="left" vertical="center"/>
    </xf>
    <xf numFmtId="0" fontId="12" fillId="0" borderId="2" xfId="0" applyFont="1" applyBorder="1" applyAlignment="1">
      <alignment horizontal="left" vertical="center"/>
    </xf>
    <xf numFmtId="0" fontId="12" fillId="0" borderId="4" xfId="0" applyFont="1" applyBorder="1" applyAlignment="1">
      <alignment horizontal="left" vertical="center"/>
    </xf>
    <xf numFmtId="0" fontId="33" fillId="0" borderId="17" xfId="0" applyFont="1" applyBorder="1" applyAlignment="1">
      <alignment horizontal="left" vertical="center" wrapText="1"/>
    </xf>
    <xf numFmtId="0" fontId="33" fillId="0" borderId="0" xfId="0" applyFont="1" applyAlignment="1">
      <alignment horizontal="left" vertical="center" wrapText="1"/>
    </xf>
    <xf numFmtId="0" fontId="12" fillId="7" borderId="1" xfId="0" applyFont="1" applyFill="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12" fillId="0" borderId="7" xfId="0" applyFont="1" applyBorder="1" applyAlignment="1">
      <alignment horizontal="left" vertical="center" wrapText="1"/>
    </xf>
    <xf numFmtId="0" fontId="12" fillId="0" borderId="9" xfId="0" applyFont="1" applyBorder="1" applyAlignment="1">
      <alignment horizontal="left" vertical="center" wrapText="1"/>
    </xf>
    <xf numFmtId="0" fontId="12" fillId="0" borderId="13" xfId="0" applyFont="1" applyBorder="1" applyAlignment="1">
      <alignment horizontal="left" vertical="center" wrapText="1"/>
    </xf>
    <xf numFmtId="0" fontId="12" fillId="0" borderId="10" xfId="0" applyFont="1" applyBorder="1" applyAlignment="1">
      <alignment horizontal="left" vertical="center" wrapText="1"/>
    </xf>
    <xf numFmtId="0" fontId="12" fillId="0" borderId="3" xfId="0" applyFont="1" applyBorder="1" applyAlignment="1">
      <alignment horizontal="left" vertical="center"/>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1" fillId="2" borderId="3" xfId="0" applyFont="1" applyFill="1" applyBorder="1" applyAlignment="1">
      <alignment horizontal="left" vertical="center" wrapText="1"/>
    </xf>
    <xf numFmtId="0" fontId="22" fillId="0" borderId="0" xfId="0" applyFont="1" applyAlignment="1">
      <alignment horizontal="left"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28" fillId="2" borderId="8" xfId="0" applyFont="1" applyFill="1" applyBorder="1" applyAlignment="1">
      <alignment horizontal="center" vertical="center" wrapText="1"/>
    </xf>
    <xf numFmtId="0" fontId="28" fillId="2" borderId="9" xfId="0" applyFont="1" applyFill="1" applyBorder="1" applyAlignment="1">
      <alignment horizontal="center" vertical="center" wrapText="1"/>
    </xf>
    <xf numFmtId="0" fontId="28" fillId="2" borderId="13" xfId="0" applyFont="1" applyFill="1" applyBorder="1" applyAlignment="1">
      <alignment horizontal="center" vertical="center" wrapText="1"/>
    </xf>
    <xf numFmtId="0" fontId="28" fillId="2" borderId="10" xfId="0" applyFont="1" applyFill="1" applyBorder="1" applyAlignment="1">
      <alignment horizontal="center" vertical="center" wrapText="1"/>
    </xf>
    <xf numFmtId="0" fontId="19" fillId="0" borderId="1" xfId="0" applyFont="1" applyBorder="1" applyAlignment="1">
      <alignment horizontal="left" vertical="center" wrapText="1"/>
    </xf>
    <xf numFmtId="0" fontId="19" fillId="0" borderId="9" xfId="0" applyFont="1" applyBorder="1" applyAlignment="1">
      <alignment horizontal="left" vertical="center" wrapText="1"/>
    </xf>
    <xf numFmtId="0" fontId="19" fillId="0" borderId="13" xfId="0" applyFont="1" applyBorder="1" applyAlignment="1">
      <alignment horizontal="left" vertical="center" wrapText="1"/>
    </xf>
    <xf numFmtId="0" fontId="19" fillId="0" borderId="10" xfId="0" applyFont="1" applyBorder="1" applyAlignment="1">
      <alignment horizontal="left" vertical="center" wrapText="1"/>
    </xf>
    <xf numFmtId="0" fontId="27" fillId="2" borderId="6"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7" xfId="0" applyFont="1" applyFill="1" applyBorder="1" applyAlignment="1">
      <alignment horizontal="center" vertical="center" wrapText="1"/>
    </xf>
    <xf numFmtId="0" fontId="4" fillId="2" borderId="1" xfId="0" applyFont="1" applyFill="1" applyBorder="1" applyAlignment="1">
      <alignment horizontal="left" vertical="center" wrapText="1"/>
    </xf>
    <xf numFmtId="1" fontId="4" fillId="6" borderId="2" xfId="0" applyNumberFormat="1" applyFont="1" applyFill="1" applyBorder="1" applyAlignment="1">
      <alignment horizontal="center" vertical="center"/>
    </xf>
    <xf numFmtId="1" fontId="4" fillId="6" borderId="3" xfId="0" applyNumberFormat="1" applyFont="1" applyFill="1" applyBorder="1" applyAlignment="1">
      <alignment horizontal="center" vertical="center"/>
    </xf>
    <xf numFmtId="0" fontId="4" fillId="2" borderId="1" xfId="0" applyFont="1" applyFill="1" applyBorder="1" applyAlignment="1">
      <alignment horizontal="right" vertical="center"/>
    </xf>
    <xf numFmtId="0" fontId="4" fillId="2" borderId="5" xfId="0" applyFont="1" applyFill="1" applyBorder="1" applyAlignment="1">
      <alignment horizontal="right" vertical="center"/>
    </xf>
    <xf numFmtId="0" fontId="4" fillId="2" borderId="11" xfId="0" applyFont="1" applyFill="1" applyBorder="1" applyAlignment="1">
      <alignment horizontal="right" vertical="center"/>
    </xf>
    <xf numFmtId="0" fontId="4" fillId="2" borderId="8" xfId="0" applyFont="1" applyFill="1" applyBorder="1" applyAlignment="1">
      <alignment horizontal="right" vertical="center"/>
    </xf>
    <xf numFmtId="0" fontId="19" fillId="2" borderId="5" xfId="0" applyFont="1" applyFill="1" applyBorder="1" applyAlignment="1">
      <alignment horizontal="center" vertical="center"/>
    </xf>
    <xf numFmtId="0" fontId="19" fillId="2" borderId="8" xfId="0" applyFont="1" applyFill="1" applyBorder="1" applyAlignment="1">
      <alignment horizontal="center" vertical="center"/>
    </xf>
    <xf numFmtId="0" fontId="20" fillId="0" borderId="1" xfId="0" applyFont="1" applyBorder="1" applyAlignment="1">
      <alignment horizontal="center" vertical="center"/>
    </xf>
    <xf numFmtId="0" fontId="11" fillId="0" borderId="1" xfId="0" applyFont="1" applyBorder="1" applyAlignment="1">
      <alignment horizontal="center" vertical="center"/>
    </xf>
    <xf numFmtId="0" fontId="19" fillId="2" borderId="5"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21" fillId="0" borderId="1" xfId="0" applyFont="1" applyBorder="1" applyAlignment="1">
      <alignment horizontal="center" vertical="center"/>
    </xf>
    <xf numFmtId="0" fontId="19" fillId="2" borderId="6"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0" fontId="21" fillId="0" borderId="5"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8" xfId="0" applyFont="1" applyBorder="1" applyAlignment="1">
      <alignment horizontal="center" vertical="center" wrapText="1"/>
    </xf>
    <xf numFmtId="0" fontId="9" fillId="0" borderId="1" xfId="0" applyFont="1" applyBorder="1" applyAlignment="1">
      <alignment horizontal="left" vertical="center" wrapText="1"/>
    </xf>
    <xf numFmtId="0" fontId="11" fillId="2" borderId="1" xfId="0" applyFont="1" applyFill="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13" fillId="0" borderId="0" xfId="0" applyFont="1" applyAlignment="1">
      <alignment horizontal="left" wrapText="1"/>
    </xf>
    <xf numFmtId="0" fontId="13" fillId="0" borderId="0" xfId="0" applyFont="1" applyAlignment="1">
      <alignment horizontal="center" wrapText="1"/>
    </xf>
    <xf numFmtId="0" fontId="4" fillId="0" borderId="1" xfId="0" applyFont="1" applyBorder="1" applyAlignment="1">
      <alignment horizontal="left" vertical="center"/>
    </xf>
    <xf numFmtId="0" fontId="4" fillId="2" borderId="1" xfId="0" applyFont="1" applyFill="1" applyBorder="1" applyAlignment="1">
      <alignment horizontal="center" vertical="center" wrapText="1"/>
    </xf>
    <xf numFmtId="14" fontId="4" fillId="4" borderId="1" xfId="0" applyNumberFormat="1" applyFont="1" applyFill="1" applyBorder="1" applyAlignment="1">
      <alignment horizontal="left" vertical="center" wrapText="1"/>
    </xf>
    <xf numFmtId="0" fontId="10" fillId="0" borderId="1" xfId="0" applyFont="1" applyBorder="1" applyAlignment="1">
      <alignment horizontal="left" vertical="top"/>
    </xf>
    <xf numFmtId="14" fontId="4" fillId="0" borderId="1" xfId="0" applyNumberFormat="1" applyFont="1" applyBorder="1" applyAlignment="1">
      <alignment horizontal="left" vertical="center" wrapText="1"/>
    </xf>
    <xf numFmtId="0" fontId="15" fillId="4" borderId="0" xfId="0" applyFont="1" applyFill="1" applyAlignment="1">
      <alignment horizontal="left" vertical="center" wrapText="1"/>
    </xf>
    <xf numFmtId="0" fontId="4" fillId="4" borderId="1" xfId="0" applyFont="1" applyFill="1" applyBorder="1" applyAlignment="1">
      <alignment horizontal="left" vertical="center" wrapText="1"/>
    </xf>
    <xf numFmtId="0" fontId="14" fillId="0" borderId="2" xfId="0" applyFont="1" applyBorder="1" applyAlignment="1">
      <alignment horizontal="left" vertical="center" wrapText="1"/>
    </xf>
    <xf numFmtId="0" fontId="14" fillId="0" borderId="4" xfId="0" applyFont="1" applyBorder="1" applyAlignment="1">
      <alignment horizontal="left" vertical="center" wrapText="1"/>
    </xf>
    <xf numFmtId="0" fontId="14" fillId="0" borderId="3" xfId="0" applyFont="1" applyBorder="1" applyAlignment="1">
      <alignment horizontal="left" vertical="center" wrapText="1"/>
    </xf>
    <xf numFmtId="0" fontId="13"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cellXfs>
  <cellStyles count="3">
    <cellStyle name="Normal" xfId="0" builtinId="0"/>
    <cellStyle name="Normal 2" xfId="1" xr:uid="{00000000-0005-0000-0000-00002A000000}"/>
    <cellStyle name="Percent" xfId="2" builtinId="5"/>
  </cellStyles>
  <dxfs count="0"/>
  <tableStyles count="0" defaultTableStyle="TableStyleMedium2" defaultPivotStyle="PivotStyleLight16"/>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png"/><Relationship Id="rId4"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479425</xdr:colOff>
      <xdr:row>36</xdr:row>
      <xdr:rowOff>31750</xdr:rowOff>
    </xdr:from>
    <xdr:to>
      <xdr:col>1</xdr:col>
      <xdr:colOff>1003756</xdr:colOff>
      <xdr:row>36</xdr:row>
      <xdr:rowOff>1279525</xdr:rowOff>
    </xdr:to>
    <xdr:pic>
      <xdr:nvPicPr>
        <xdr:cNvPr id="1025" name="Picture 1">
          <a:extLst>
            <a:ext uri="{FF2B5EF4-FFF2-40B4-BE49-F238E27FC236}">
              <a16:creationId xmlns:a16="http://schemas.microsoft.com/office/drawing/2014/main" id="{00000000-0008-0000-02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3213735" y="12520930"/>
          <a:ext cx="523875" cy="1247775"/>
        </a:xfrm>
        <a:prstGeom prst="rect">
          <a:avLst/>
        </a:prstGeom>
        <a:noFill/>
        <a:ln w="1">
          <a:noFill/>
          <a:miter lim="800000"/>
          <a:headEnd/>
          <a:tailEnd type="none" w="med" len="med"/>
        </a:ln>
        <a:effectLst/>
      </xdr:spPr>
    </xdr:pic>
    <xdr:clientData/>
  </xdr:twoCellAnchor>
  <xdr:twoCellAnchor editAs="oneCell">
    <xdr:from>
      <xdr:col>4</xdr:col>
      <xdr:colOff>682626</xdr:colOff>
      <xdr:row>36</xdr:row>
      <xdr:rowOff>44451</xdr:rowOff>
    </xdr:from>
    <xdr:to>
      <xdr:col>4</xdr:col>
      <xdr:colOff>1160436</xdr:colOff>
      <xdr:row>36</xdr:row>
      <xdr:rowOff>1254125</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7302500" y="12533630"/>
          <a:ext cx="477520" cy="1209675"/>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xdr:colOff>
      <xdr:row>18</xdr:row>
      <xdr:rowOff>76201</xdr:rowOff>
    </xdr:from>
    <xdr:to>
      <xdr:col>3</xdr:col>
      <xdr:colOff>114300</xdr:colOff>
      <xdr:row>19</xdr:row>
      <xdr:rowOff>323851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009775" y="4419601"/>
          <a:ext cx="28003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236220</xdr:colOff>
      <xdr:row>26</xdr:row>
      <xdr:rowOff>56467</xdr:rowOff>
    </xdr:from>
    <xdr:to>
      <xdr:col>1</xdr:col>
      <xdr:colOff>1183836</xdr:colOff>
      <xdr:row>26</xdr:row>
      <xdr:rowOff>1163523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2446020" y="6673850"/>
          <a:ext cx="947420" cy="1107440"/>
        </a:xfrm>
        <a:prstGeom prst="rect">
          <a:avLst/>
        </a:prstGeom>
      </xdr:spPr>
    </xdr:pic>
    <xdr:clientData/>
  </xdr:twoCellAnchor>
  <xdr:twoCellAnchor editAs="oneCell">
    <xdr:from>
      <xdr:col>2</xdr:col>
      <xdr:colOff>266505</xdr:colOff>
      <xdr:row>26</xdr:row>
      <xdr:rowOff>45720</xdr:rowOff>
    </xdr:from>
    <xdr:to>
      <xdr:col>2</xdr:col>
      <xdr:colOff>1131570</xdr:colOff>
      <xdr:row>26</xdr:row>
      <xdr:rowOff>1184354</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4058920" y="6663690"/>
          <a:ext cx="869315" cy="11385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541419</xdr:colOff>
      <xdr:row>14</xdr:row>
      <xdr:rowOff>220579</xdr:rowOff>
    </xdr:from>
    <xdr:to>
      <xdr:col>0</xdr:col>
      <xdr:colOff>1622803</xdr:colOff>
      <xdr:row>18</xdr:row>
      <xdr:rowOff>1393659</xdr:rowOff>
    </xdr:to>
    <xdr:pic>
      <xdr:nvPicPr>
        <xdr:cNvPr id="2049" name="Picture 1">
          <a:extLst>
            <a:ext uri="{FF2B5EF4-FFF2-40B4-BE49-F238E27FC236}">
              <a16:creationId xmlns:a16="http://schemas.microsoft.com/office/drawing/2014/main" id="{00000000-0008-0000-04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a:xfrm rot="10800000" flipV="1">
          <a:off x="541419" y="11239500"/>
          <a:ext cx="1081384" cy="2677027"/>
        </a:xfrm>
        <a:prstGeom prst="rect">
          <a:avLst/>
        </a:prstGeom>
        <a:noFill/>
        <a:ln w="1">
          <a:noFill/>
          <a:miter lim="800000"/>
          <a:headEnd/>
          <a:tailEnd type="none" w="med" len="med"/>
        </a:ln>
        <a:effectLst/>
      </xdr:spPr>
    </xdr:pic>
    <xdr:clientData/>
  </xdr:twoCellAnchor>
  <xdr:twoCellAnchor editAs="oneCell">
    <xdr:from>
      <xdr:col>1</xdr:col>
      <xdr:colOff>201427</xdr:colOff>
      <xdr:row>17</xdr:row>
      <xdr:rowOff>210552</xdr:rowOff>
    </xdr:from>
    <xdr:to>
      <xdr:col>2</xdr:col>
      <xdr:colOff>748204</xdr:colOff>
      <xdr:row>18</xdr:row>
      <xdr:rowOff>1472757</xdr:rowOff>
    </xdr:to>
    <xdr:pic>
      <xdr:nvPicPr>
        <xdr:cNvPr id="2050" name="Picture 2">
          <a:extLst>
            <a:ext uri="{FF2B5EF4-FFF2-40B4-BE49-F238E27FC236}">
              <a16:creationId xmlns:a16="http://schemas.microsoft.com/office/drawing/2014/main" id="{00000000-0008-0000-0400-000002080000}"/>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2657874" y="12372473"/>
          <a:ext cx="1860225" cy="1623152"/>
        </a:xfrm>
        <a:prstGeom prst="rect">
          <a:avLst/>
        </a:prstGeom>
        <a:noFill/>
        <a:ln w="1">
          <a:noFill/>
          <a:miter lim="800000"/>
          <a:headEnd/>
          <a:tailEnd type="none" w="med" len="med"/>
        </a:ln>
        <a:effectLst/>
      </xdr:spPr>
    </xdr:pic>
    <xdr:clientData/>
  </xdr:twoCellAnchor>
  <xdr:twoCellAnchor editAs="oneCell">
    <xdr:from>
      <xdr:col>1</xdr:col>
      <xdr:colOff>85725</xdr:colOff>
      <xdr:row>22</xdr:row>
      <xdr:rowOff>1905</xdr:rowOff>
    </xdr:from>
    <xdr:to>
      <xdr:col>1</xdr:col>
      <xdr:colOff>553720</xdr:colOff>
      <xdr:row>23</xdr:row>
      <xdr:rowOff>73660</xdr:rowOff>
    </xdr:to>
    <xdr:pic>
      <xdr:nvPicPr>
        <xdr:cNvPr id="4" name="图片 1" descr="1663308932712">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2820035" y="15153005"/>
          <a:ext cx="467995" cy="327025"/>
        </a:xfrm>
        <a:prstGeom prst="rect">
          <a:avLst/>
        </a:prstGeom>
      </xdr:spPr>
    </xdr:pic>
    <xdr:clientData/>
  </xdr:twoCellAnchor>
  <xdr:twoCellAnchor editAs="oneCell">
    <xdr:from>
      <xdr:col>0</xdr:col>
      <xdr:colOff>9525</xdr:colOff>
      <xdr:row>1</xdr:row>
      <xdr:rowOff>316230</xdr:rowOff>
    </xdr:from>
    <xdr:to>
      <xdr:col>4</xdr:col>
      <xdr:colOff>1014095</xdr:colOff>
      <xdr:row>4</xdr:row>
      <xdr:rowOff>1355725</xdr:rowOff>
    </xdr:to>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4"/>
        <a:stretch>
          <a:fillRect/>
        </a:stretch>
      </xdr:blipFill>
      <xdr:spPr>
        <a:xfrm>
          <a:off x="9525" y="697230"/>
          <a:ext cx="10342245" cy="686117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38"/>
  <sheetViews>
    <sheetView topLeftCell="A3" workbookViewId="0">
      <selection activeCell="C13" sqref="C13"/>
    </sheetView>
  </sheetViews>
  <sheetFormatPr defaultColWidth="9.28515625" defaultRowHeight="15"/>
  <cols>
    <col min="1" max="1" width="39.7109375" style="14" customWidth="1"/>
    <col min="2" max="2" width="11.28515625" style="14" customWidth="1"/>
    <col min="3" max="3" width="17.7109375" style="14" customWidth="1"/>
    <col min="4" max="4" width="15.7109375" style="14" customWidth="1"/>
    <col min="5" max="5" width="8.7109375" style="14" customWidth="1"/>
    <col min="6" max="6" width="26.28515625" style="14" customWidth="1"/>
    <col min="7" max="16384" width="9.28515625" style="14"/>
  </cols>
  <sheetData>
    <row r="1" spans="1:6" ht="30" customHeight="1">
      <c r="A1" s="8" t="s">
        <v>0</v>
      </c>
    </row>
    <row r="2" spans="1:6" ht="15" customHeight="1">
      <c r="A2" s="94" t="s">
        <v>1</v>
      </c>
      <c r="B2" s="141" t="s">
        <v>2</v>
      </c>
      <c r="C2" s="141"/>
      <c r="D2" s="141"/>
      <c r="E2" s="141"/>
      <c r="F2" s="95"/>
    </row>
    <row r="3" spans="1:6" ht="15" customHeight="1">
      <c r="A3" s="96" t="s">
        <v>3</v>
      </c>
      <c r="B3" s="141" t="s">
        <v>4</v>
      </c>
      <c r="C3" s="141"/>
      <c r="D3" s="141"/>
      <c r="E3" s="141"/>
      <c r="F3" s="95"/>
    </row>
    <row r="4" spans="1:6" ht="15" customHeight="1">
      <c r="A4" s="96" t="s">
        <v>5</v>
      </c>
      <c r="B4" s="141" t="s">
        <v>6</v>
      </c>
      <c r="C4" s="141"/>
      <c r="D4" s="141"/>
      <c r="E4" s="141"/>
      <c r="F4" s="95"/>
    </row>
    <row r="5" spans="1:6" ht="15" customHeight="1">
      <c r="A5" s="96" t="s">
        <v>7</v>
      </c>
      <c r="B5" s="141" t="s">
        <v>8</v>
      </c>
      <c r="C5" s="141"/>
      <c r="D5" s="141"/>
      <c r="E5" s="141"/>
      <c r="F5" s="95"/>
    </row>
    <row r="6" spans="1:6" ht="15" customHeight="1">
      <c r="A6" s="96" t="s">
        <v>9</v>
      </c>
      <c r="B6" s="142" t="s">
        <v>10</v>
      </c>
      <c r="C6" s="143"/>
      <c r="D6" s="143"/>
      <c r="E6" s="143"/>
      <c r="F6" s="95"/>
    </row>
    <row r="7" spans="1:6" ht="15" customHeight="1">
      <c r="A7" s="96" t="s">
        <v>11</v>
      </c>
      <c r="B7" s="142" t="s">
        <v>12</v>
      </c>
      <c r="C7" s="143"/>
      <c r="D7" s="143"/>
      <c r="E7" s="143"/>
      <c r="F7" s="95"/>
    </row>
    <row r="8" spans="1:6" ht="15" customHeight="1">
      <c r="A8" s="96" t="s">
        <v>13</v>
      </c>
      <c r="B8" s="144" t="s">
        <v>14</v>
      </c>
      <c r="C8" s="144"/>
      <c r="D8" s="144"/>
      <c r="E8" s="144"/>
      <c r="F8" s="95"/>
    </row>
    <row r="9" spans="1:6" ht="15" customHeight="1">
      <c r="A9" s="96" t="s">
        <v>15</v>
      </c>
      <c r="B9" s="144" t="s">
        <v>14</v>
      </c>
      <c r="C9" s="144"/>
      <c r="D9" s="144"/>
      <c r="E9" s="144"/>
      <c r="F9" s="95"/>
    </row>
    <row r="10" spans="1:6" ht="26.65" customHeight="1">
      <c r="A10" s="96" t="s">
        <v>16</v>
      </c>
      <c r="B10" s="141" t="s">
        <v>17</v>
      </c>
      <c r="C10" s="141"/>
      <c r="D10" s="141"/>
      <c r="E10" s="141"/>
      <c r="F10" s="95"/>
    </row>
    <row r="11" spans="1:6" ht="15" customHeight="1">
      <c r="A11" s="96" t="s">
        <v>18</v>
      </c>
      <c r="B11" s="141" t="s">
        <v>19</v>
      </c>
      <c r="C11" s="141"/>
      <c r="D11" s="141"/>
      <c r="E11" s="141"/>
      <c r="F11" s="95"/>
    </row>
    <row r="12" spans="1:6" ht="30" customHeight="1">
      <c r="A12" s="145" t="s">
        <v>20</v>
      </c>
      <c r="B12" s="145"/>
      <c r="C12" s="7"/>
    </row>
    <row r="13" spans="1:6" ht="30" customHeight="1">
      <c r="A13" s="97" t="s">
        <v>21</v>
      </c>
      <c r="B13" s="18" t="s">
        <v>22</v>
      </c>
      <c r="C13" s="42" t="s">
        <v>23</v>
      </c>
    </row>
    <row r="14" spans="1:6" ht="25.15" customHeight="1">
      <c r="A14" s="92" t="s">
        <v>24</v>
      </c>
      <c r="B14" s="22" t="s">
        <v>25</v>
      </c>
    </row>
    <row r="15" spans="1:6" ht="25.15" customHeight="1">
      <c r="A15" s="92" t="s">
        <v>26</v>
      </c>
      <c r="B15" s="22"/>
    </row>
    <row r="16" spans="1:6" ht="25.15" customHeight="1">
      <c r="A16" s="92" t="s">
        <v>27</v>
      </c>
      <c r="B16" s="22"/>
    </row>
    <row r="17" spans="1:6" ht="25.15" customHeight="1">
      <c r="A17" s="92" t="s">
        <v>28</v>
      </c>
      <c r="B17" s="22"/>
    </row>
    <row r="18" spans="1:6" ht="25.15" customHeight="1">
      <c r="A18" s="92" t="s">
        <v>29</v>
      </c>
      <c r="B18" s="22"/>
    </row>
    <row r="19" spans="1:6" ht="25.15" customHeight="1">
      <c r="A19" s="92" t="s">
        <v>30</v>
      </c>
      <c r="B19" s="22" t="s">
        <v>25</v>
      </c>
    </row>
    <row r="20" spans="1:6" ht="25.15" customHeight="1">
      <c r="A20" s="92" t="s">
        <v>31</v>
      </c>
      <c r="B20" s="22" t="s">
        <v>25</v>
      </c>
    </row>
    <row r="21" spans="1:6" ht="25.15" customHeight="1">
      <c r="A21" s="92" t="s">
        <v>32</v>
      </c>
      <c r="B21" s="22"/>
    </row>
    <row r="22" spans="1:6" ht="45.75" customHeight="1">
      <c r="A22" s="92" t="s">
        <v>33</v>
      </c>
      <c r="B22" s="39" t="s">
        <v>34</v>
      </c>
    </row>
    <row r="23" spans="1:6" ht="30" customHeight="1">
      <c r="A23" s="8" t="s">
        <v>35</v>
      </c>
      <c r="B23" s="8"/>
      <c r="C23" s="8"/>
    </row>
    <row r="24" spans="1:6" ht="25.15" customHeight="1">
      <c r="A24" s="98" t="s">
        <v>36</v>
      </c>
      <c r="B24" s="18" t="s">
        <v>22</v>
      </c>
    </row>
    <row r="25" spans="1:6" ht="25.15" customHeight="1">
      <c r="A25" s="92" t="s">
        <v>37</v>
      </c>
      <c r="B25" s="22" t="s">
        <v>25</v>
      </c>
      <c r="C25" s="55" t="s">
        <v>38</v>
      </c>
    </row>
    <row r="26" spans="1:6" ht="25.15" customHeight="1">
      <c r="A26" s="92" t="s">
        <v>39</v>
      </c>
      <c r="B26" s="22" t="s">
        <v>25</v>
      </c>
      <c r="C26" s="55" t="s">
        <v>40</v>
      </c>
    </row>
    <row r="27" spans="1:6" s="4" customFormat="1" ht="30" customHeight="1">
      <c r="A27" s="146" t="s">
        <v>41</v>
      </c>
      <c r="B27" s="146"/>
      <c r="C27" s="146"/>
    </row>
    <row r="28" spans="1:6" ht="30" customHeight="1">
      <c r="A28" s="147" t="s">
        <v>42</v>
      </c>
      <c r="B28" s="147"/>
      <c r="C28" s="148" t="s">
        <v>43</v>
      </c>
      <c r="D28" s="148"/>
      <c r="E28" s="149" t="s">
        <v>44</v>
      </c>
      <c r="F28" s="150"/>
    </row>
    <row r="29" spans="1:6" ht="15" customHeight="1">
      <c r="A29" s="147" t="s">
        <v>45</v>
      </c>
      <c r="B29" s="147"/>
      <c r="C29" s="151" t="s">
        <v>46</v>
      </c>
      <c r="D29" s="152"/>
      <c r="E29" s="153" t="s">
        <v>47</v>
      </c>
      <c r="F29" s="154"/>
    </row>
    <row r="30" spans="1:6" ht="15" customHeight="1">
      <c r="A30" s="155"/>
      <c r="B30" s="155"/>
      <c r="C30" s="99" t="s">
        <v>48</v>
      </c>
      <c r="D30" s="36" t="s">
        <v>49</v>
      </c>
      <c r="E30" s="85" t="s">
        <v>50</v>
      </c>
      <c r="F30" s="85"/>
    </row>
    <row r="31" spans="1:6" ht="30" customHeight="1">
      <c r="A31" s="147" t="s">
        <v>51</v>
      </c>
      <c r="B31" s="147"/>
      <c r="C31" s="99" t="s">
        <v>52</v>
      </c>
      <c r="D31" s="36" t="s">
        <v>19</v>
      </c>
      <c r="E31" s="85" t="s">
        <v>53</v>
      </c>
      <c r="F31" s="85"/>
    </row>
    <row r="32" spans="1:6" ht="25.15" customHeight="1">
      <c r="A32" s="147" t="s">
        <v>54</v>
      </c>
      <c r="B32" s="147" t="s">
        <v>19</v>
      </c>
      <c r="C32" s="100" t="s">
        <v>19</v>
      </c>
      <c r="D32" s="36" t="s">
        <v>19</v>
      </c>
      <c r="E32" s="85"/>
      <c r="F32" s="85"/>
    </row>
    <row r="33" spans="1:6" ht="25.15" customHeight="1">
      <c r="A33" s="147" t="s">
        <v>55</v>
      </c>
      <c r="B33" s="147" t="s">
        <v>19</v>
      </c>
      <c r="C33" s="100" t="s">
        <v>19</v>
      </c>
      <c r="D33" s="36" t="s">
        <v>56</v>
      </c>
      <c r="E33" s="85"/>
      <c r="F33" s="85"/>
    </row>
    <row r="34" spans="1:6" ht="25.15" customHeight="1">
      <c r="A34" s="147" t="s">
        <v>57</v>
      </c>
      <c r="B34" s="147"/>
      <c r="C34" s="151" t="s">
        <v>58</v>
      </c>
      <c r="D34" s="162"/>
      <c r="E34" s="85" t="s">
        <v>59</v>
      </c>
      <c r="F34" s="85"/>
    </row>
    <row r="35" spans="1:6" ht="25.15" customHeight="1">
      <c r="A35" s="147" t="s">
        <v>60</v>
      </c>
      <c r="B35" s="147"/>
      <c r="C35" s="151" t="s">
        <v>61</v>
      </c>
      <c r="D35" s="162"/>
      <c r="E35" s="85"/>
      <c r="F35" s="85"/>
    </row>
    <row r="36" spans="1:6" s="4" customFormat="1" ht="30" customHeight="1">
      <c r="A36" s="146" t="s">
        <v>62</v>
      </c>
      <c r="B36" s="146"/>
      <c r="C36" s="146"/>
      <c r="F36" s="14"/>
    </row>
    <row r="37" spans="1:6">
      <c r="A37" s="156" t="s">
        <v>63</v>
      </c>
      <c r="B37" s="157"/>
      <c r="C37" s="157"/>
      <c r="D37" s="157"/>
      <c r="E37" s="158"/>
    </row>
    <row r="38" spans="1:6">
      <c r="A38" s="159"/>
      <c r="B38" s="160"/>
      <c r="C38" s="160"/>
      <c r="D38" s="160"/>
      <c r="E38" s="161"/>
    </row>
  </sheetData>
  <mergeCells count="28">
    <mergeCell ref="A36:C36"/>
    <mergeCell ref="A37:E38"/>
    <mergeCell ref="A32:B32"/>
    <mergeCell ref="A33:B33"/>
    <mergeCell ref="A34:B34"/>
    <mergeCell ref="C34:D34"/>
    <mergeCell ref="A35:B35"/>
    <mergeCell ref="C35:D35"/>
    <mergeCell ref="A29:B29"/>
    <mergeCell ref="C29:D29"/>
    <mergeCell ref="E29:F29"/>
    <mergeCell ref="A30:B30"/>
    <mergeCell ref="A31:B31"/>
    <mergeCell ref="A12:B12"/>
    <mergeCell ref="A27:C27"/>
    <mergeCell ref="A28:B28"/>
    <mergeCell ref="C28:D28"/>
    <mergeCell ref="E28:F28"/>
    <mergeCell ref="B7:E7"/>
    <mergeCell ref="B8:E8"/>
    <mergeCell ref="B9:E9"/>
    <mergeCell ref="B10:E10"/>
    <mergeCell ref="B11:E11"/>
    <mergeCell ref="B2:E2"/>
    <mergeCell ref="B3:E3"/>
    <mergeCell ref="B4:E4"/>
    <mergeCell ref="B5:E5"/>
    <mergeCell ref="B6:E6"/>
  </mergeCells>
  <pageMargins left="0.39370078740157499" right="0.39370078740157499" top="0.94488188976377996" bottom="0.70866141732283505" header="0.31496062992126" footer="0.31496062992126"/>
  <pageSetup paperSize="9" scale="75" orientation="portrait"/>
  <headerFooter>
    <oddHeader>&amp;C&amp;G</oddHeader>
    <oddFooter>&amp;L&amp;"-,Bold"&amp;10Doc Name: Food Specification   Doc Number: BASIC-18   Version: V04   Issue Date: 11/02/2021Issued By: Ling Hsuan Chiu   Authorised By: Emma Du&amp;R&amp;"-,Bold"&amp;10Confidential&amp;"-,Regular"&amp;D - Page &amp;P of &amp;N</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44"/>
  <sheetViews>
    <sheetView workbookViewId="0">
      <selection activeCell="P13" sqref="P13"/>
    </sheetView>
  </sheetViews>
  <sheetFormatPr defaultColWidth="9.28515625" defaultRowHeight="15"/>
  <cols>
    <col min="1" max="1" width="3.7109375" style="14" customWidth="1"/>
    <col min="2" max="2" width="37.28515625" style="14" customWidth="1"/>
    <col min="3" max="3" width="8" style="14" customWidth="1"/>
    <col min="4" max="4" width="6.7109375" style="14" bestFit="1" customWidth="1"/>
    <col min="5" max="5" width="16" style="14" customWidth="1"/>
    <col min="6" max="6" width="18.28515625" style="14" customWidth="1"/>
    <col min="7" max="7" width="16" style="14" customWidth="1"/>
    <col min="8" max="8" width="15.42578125" style="14" customWidth="1"/>
    <col min="9" max="9" width="11.7109375" style="14" customWidth="1"/>
    <col min="10" max="16384" width="9.28515625" style="14"/>
  </cols>
  <sheetData>
    <row r="1" spans="1:9" ht="30" customHeight="1">
      <c r="A1" s="8" t="s">
        <v>64</v>
      </c>
      <c r="B1" s="8"/>
      <c r="C1" s="7"/>
    </row>
    <row r="2" spans="1:9" ht="30" customHeight="1">
      <c r="A2" s="103" t="s">
        <v>65</v>
      </c>
      <c r="B2" s="104"/>
      <c r="C2" s="103" t="s">
        <v>66</v>
      </c>
      <c r="D2" s="104"/>
      <c r="E2" s="75" t="s">
        <v>67</v>
      </c>
      <c r="F2" s="103" t="s">
        <v>68</v>
      </c>
      <c r="G2" s="104"/>
      <c r="H2" s="135" t="s">
        <v>69</v>
      </c>
      <c r="I2" s="135" t="s">
        <v>70</v>
      </c>
    </row>
    <row r="3" spans="1:9" ht="35.1" customHeight="1">
      <c r="A3" s="105" t="s">
        <v>71</v>
      </c>
      <c r="B3" s="106"/>
      <c r="C3" s="105" t="s">
        <v>72</v>
      </c>
      <c r="D3" s="106"/>
      <c r="E3" s="76" t="s">
        <v>73</v>
      </c>
      <c r="F3" s="107" t="s">
        <v>74</v>
      </c>
      <c r="G3" s="108"/>
      <c r="H3" s="136"/>
      <c r="I3" s="136"/>
    </row>
    <row r="4" spans="1:9" ht="30" customHeight="1">
      <c r="A4" s="109" t="s">
        <v>75</v>
      </c>
      <c r="B4" s="110"/>
      <c r="C4" s="109"/>
      <c r="D4" s="110"/>
      <c r="E4" s="77">
        <v>0.505</v>
      </c>
      <c r="F4" s="111" t="s">
        <v>76</v>
      </c>
      <c r="G4" s="112"/>
      <c r="H4" s="41" t="s">
        <v>77</v>
      </c>
      <c r="I4" s="93" t="s">
        <v>78</v>
      </c>
    </row>
    <row r="5" spans="1:9" ht="30" customHeight="1">
      <c r="A5" s="109" t="s">
        <v>79</v>
      </c>
      <c r="B5" s="110"/>
      <c r="C5" s="109"/>
      <c r="D5" s="110"/>
      <c r="E5" s="77">
        <v>0.39</v>
      </c>
      <c r="F5" s="111" t="s">
        <v>80</v>
      </c>
      <c r="G5" s="112"/>
      <c r="H5" s="41" t="s">
        <v>77</v>
      </c>
      <c r="I5" s="93" t="s">
        <v>78</v>
      </c>
    </row>
    <row r="6" spans="1:9" ht="30" customHeight="1">
      <c r="A6" s="109" t="s">
        <v>81</v>
      </c>
      <c r="B6" s="110"/>
      <c r="C6" s="109"/>
      <c r="D6" s="110"/>
      <c r="E6" s="77">
        <v>0.105</v>
      </c>
      <c r="F6" s="113" t="s">
        <v>82</v>
      </c>
      <c r="G6" s="114"/>
      <c r="H6" s="41" t="s">
        <v>77</v>
      </c>
      <c r="I6" s="93" t="s">
        <v>78</v>
      </c>
    </row>
    <row r="7" spans="1:9" ht="30" customHeight="1">
      <c r="A7" s="109"/>
      <c r="B7" s="110"/>
      <c r="C7" s="109"/>
      <c r="D7" s="110"/>
      <c r="E7" s="77"/>
      <c r="F7" s="111"/>
      <c r="G7" s="112"/>
      <c r="H7" s="41"/>
      <c r="I7" s="93"/>
    </row>
    <row r="8" spans="1:9" ht="15" customHeight="1">
      <c r="A8" s="61"/>
      <c r="B8" s="61"/>
      <c r="C8" s="61"/>
      <c r="D8" s="78" t="s">
        <v>83</v>
      </c>
      <c r="E8" s="79">
        <f>SUM(E4:E7)</f>
        <v>1</v>
      </c>
      <c r="F8" s="80"/>
      <c r="G8" s="61"/>
      <c r="H8" s="61"/>
      <c r="I8" s="61"/>
    </row>
    <row r="9" spans="1:9" ht="25.5" customHeight="1">
      <c r="A9" s="137" t="s">
        <v>84</v>
      </c>
      <c r="B9" s="137"/>
      <c r="C9" s="137"/>
      <c r="D9" s="137"/>
      <c r="E9" s="137"/>
      <c r="F9" s="137"/>
      <c r="G9" s="137"/>
      <c r="H9" s="137"/>
    </row>
    <row r="10" spans="1:9" ht="25.5" customHeight="1">
      <c r="A10" s="137"/>
      <c r="B10" s="137"/>
      <c r="C10" s="137"/>
      <c r="D10" s="137"/>
      <c r="E10" s="137"/>
      <c r="F10" s="137"/>
      <c r="G10" s="137"/>
      <c r="H10" s="137"/>
    </row>
    <row r="11" spans="1:9" ht="16.149999999999999" customHeight="1">
      <c r="A11" s="115" t="s">
        <v>85</v>
      </c>
      <c r="B11" s="115"/>
      <c r="C11" s="115"/>
      <c r="D11" s="115"/>
      <c r="E11" s="116" t="s">
        <v>86</v>
      </c>
      <c r="F11" s="116"/>
      <c r="G11" s="116"/>
      <c r="H11" s="81"/>
    </row>
    <row r="12" spans="1:9" ht="16.149999999999999" customHeight="1">
      <c r="A12" s="115" t="s">
        <v>87</v>
      </c>
      <c r="B12" s="115"/>
      <c r="C12" s="115"/>
      <c r="D12" s="115"/>
      <c r="E12" s="116" t="s">
        <v>88</v>
      </c>
      <c r="F12" s="116"/>
      <c r="G12" s="116"/>
      <c r="H12" s="82" t="s">
        <v>89</v>
      </c>
      <c r="I12" s="61"/>
    </row>
    <row r="13" spans="1:9" ht="22.15" customHeight="1">
      <c r="A13" s="8" t="s">
        <v>90</v>
      </c>
      <c r="B13" s="83"/>
      <c r="C13" s="84" t="s">
        <v>91</v>
      </c>
      <c r="G13" s="61"/>
      <c r="H13" s="61"/>
    </row>
    <row r="14" spans="1:9" ht="22.9" customHeight="1">
      <c r="A14" s="117" t="s">
        <v>92</v>
      </c>
      <c r="B14" s="118"/>
      <c r="C14" s="119" t="s">
        <v>93</v>
      </c>
      <c r="D14" s="120"/>
      <c r="E14" s="42"/>
      <c r="F14" s="42"/>
      <c r="G14" s="61"/>
      <c r="H14" s="61"/>
    </row>
    <row r="15" spans="1:9" ht="31.15" customHeight="1">
      <c r="A15" s="121" t="s">
        <v>94</v>
      </c>
      <c r="B15" s="122"/>
      <c r="C15" s="123" t="s">
        <v>95</v>
      </c>
      <c r="D15" s="124"/>
      <c r="E15" s="42" t="s">
        <v>96</v>
      </c>
      <c r="F15" s="42"/>
      <c r="G15" s="61"/>
      <c r="H15" s="61"/>
    </row>
    <row r="16" spans="1:9" ht="20.100000000000001" customHeight="1">
      <c r="A16" s="121" t="s">
        <v>97</v>
      </c>
      <c r="B16" s="122"/>
      <c r="C16" s="123" t="s">
        <v>98</v>
      </c>
      <c r="D16" s="124"/>
      <c r="E16" s="85" t="s">
        <v>99</v>
      </c>
      <c r="F16" s="85"/>
    </row>
    <row r="17" spans="1:23" ht="20.100000000000001" customHeight="1">
      <c r="A17" s="125" t="s">
        <v>100</v>
      </c>
      <c r="B17" s="126"/>
      <c r="C17" s="123" t="s">
        <v>101</v>
      </c>
      <c r="D17" s="124"/>
      <c r="E17" s="85"/>
      <c r="F17" s="85"/>
    </row>
    <row r="18" spans="1:23" ht="20.100000000000001" customHeight="1">
      <c r="A18" s="125" t="s">
        <v>102</v>
      </c>
      <c r="B18" s="126"/>
      <c r="C18" s="123" t="s">
        <v>101</v>
      </c>
      <c r="D18" s="124"/>
      <c r="E18" s="85"/>
      <c r="F18" s="85"/>
    </row>
    <row r="19" spans="1:23" ht="20.100000000000001" customHeight="1">
      <c r="A19" s="125" t="s">
        <v>103</v>
      </c>
      <c r="B19" s="126"/>
      <c r="C19" s="123" t="s">
        <v>101</v>
      </c>
      <c r="D19" s="124"/>
      <c r="E19" s="85"/>
      <c r="F19" s="85"/>
    </row>
    <row r="20" spans="1:23" ht="20.100000000000001" customHeight="1">
      <c r="A20" s="121" t="s">
        <v>104</v>
      </c>
      <c r="B20" s="122"/>
      <c r="C20" s="123" t="s">
        <v>105</v>
      </c>
      <c r="D20" s="124"/>
      <c r="E20" s="85" t="s">
        <v>106</v>
      </c>
      <c r="F20" s="85"/>
    </row>
    <row r="21" spans="1:23" ht="19.5" customHeight="1">
      <c r="A21" s="125" t="s">
        <v>107</v>
      </c>
      <c r="B21" s="126"/>
      <c r="C21" s="123" t="s">
        <v>101</v>
      </c>
      <c r="D21" s="124"/>
      <c r="E21" s="85"/>
      <c r="F21" s="85"/>
    </row>
    <row r="22" spans="1:23" ht="20.100000000000001" customHeight="1">
      <c r="A22" s="125" t="s">
        <v>108</v>
      </c>
      <c r="B22" s="126"/>
      <c r="C22" s="123" t="s">
        <v>101</v>
      </c>
      <c r="D22" s="124"/>
      <c r="E22" s="85"/>
      <c r="F22" s="85"/>
    </row>
    <row r="23" spans="1:23" ht="20.100000000000001" customHeight="1">
      <c r="A23" s="125" t="s">
        <v>109</v>
      </c>
      <c r="B23" s="126"/>
      <c r="C23" s="123" t="s">
        <v>101</v>
      </c>
      <c r="D23" s="124"/>
      <c r="E23" s="85"/>
      <c r="F23" s="85"/>
    </row>
    <row r="24" spans="1:23" ht="20.100000000000001" customHeight="1">
      <c r="A24" s="121" t="s">
        <v>110</v>
      </c>
      <c r="B24" s="122"/>
      <c r="C24" s="123" t="s">
        <v>111</v>
      </c>
      <c r="D24" s="124"/>
      <c r="E24" s="85" t="s">
        <v>112</v>
      </c>
      <c r="F24" s="85"/>
    </row>
    <row r="25" spans="1:23" ht="20.100000000000001" customHeight="1">
      <c r="A25" s="121" t="s">
        <v>113</v>
      </c>
      <c r="B25" s="122"/>
      <c r="C25" s="123" t="s">
        <v>114</v>
      </c>
      <c r="D25" s="124"/>
      <c r="E25" s="85" t="s">
        <v>115</v>
      </c>
      <c r="F25" s="85"/>
    </row>
    <row r="26" spans="1:23" ht="20.100000000000001" customHeight="1">
      <c r="A26" s="121" t="s">
        <v>116</v>
      </c>
      <c r="B26" s="122"/>
      <c r="C26" s="123" t="s">
        <v>117</v>
      </c>
      <c r="D26" s="124"/>
      <c r="E26" s="86" t="s">
        <v>118</v>
      </c>
      <c r="F26" s="87"/>
      <c r="G26" s="87" t="s">
        <v>119</v>
      </c>
      <c r="H26" s="87"/>
      <c r="I26" s="87"/>
      <c r="J26" s="87"/>
      <c r="W26" s="102"/>
    </row>
    <row r="27" spans="1:23" ht="20.100000000000001" customHeight="1">
      <c r="A27" s="55" t="s">
        <v>120</v>
      </c>
      <c r="B27" s="86"/>
      <c r="C27" s="88"/>
      <c r="E27" s="87"/>
      <c r="F27" s="87"/>
      <c r="G27" s="87"/>
      <c r="H27" s="87"/>
      <c r="I27" s="87"/>
      <c r="J27" s="87"/>
    </row>
    <row r="28" spans="1:23" ht="30" customHeight="1">
      <c r="A28" s="8" t="s">
        <v>121</v>
      </c>
      <c r="B28" s="7"/>
      <c r="C28" s="7"/>
      <c r="D28" s="7"/>
    </row>
    <row r="29" spans="1:23" ht="30" customHeight="1">
      <c r="A29" s="133"/>
      <c r="B29" s="138" t="s">
        <v>122</v>
      </c>
      <c r="C29" s="139"/>
      <c r="D29" s="140"/>
      <c r="E29" s="89" t="s">
        <v>123</v>
      </c>
      <c r="F29" s="90" t="s">
        <v>124</v>
      </c>
      <c r="G29" s="90" t="s">
        <v>125</v>
      </c>
      <c r="H29" s="90" t="s">
        <v>126</v>
      </c>
    </row>
    <row r="30" spans="1:23" ht="15" customHeight="1">
      <c r="A30" s="134"/>
      <c r="B30" s="127" t="s">
        <v>36</v>
      </c>
      <c r="C30" s="128"/>
      <c r="D30" s="129"/>
      <c r="E30" s="91" t="s">
        <v>127</v>
      </c>
      <c r="F30" s="91"/>
      <c r="G30" s="91" t="s">
        <v>127</v>
      </c>
      <c r="H30" s="91" t="s">
        <v>127</v>
      </c>
    </row>
    <row r="31" spans="1:23" ht="43.15" customHeight="1">
      <c r="A31" s="101" t="s">
        <v>128</v>
      </c>
      <c r="B31" s="130" t="s">
        <v>129</v>
      </c>
      <c r="C31" s="131"/>
      <c r="D31" s="132"/>
      <c r="E31" s="22"/>
      <c r="F31" s="22"/>
      <c r="G31" s="22" t="s">
        <v>22</v>
      </c>
      <c r="H31" s="22" t="s">
        <v>86</v>
      </c>
    </row>
    <row r="32" spans="1:23" ht="25.15" customHeight="1">
      <c r="A32" s="101" t="s">
        <v>130</v>
      </c>
      <c r="B32" s="130" t="s">
        <v>131</v>
      </c>
      <c r="C32" s="131"/>
      <c r="D32" s="132"/>
      <c r="E32" s="22"/>
      <c r="F32" s="22"/>
      <c r="G32" s="22" t="s">
        <v>86</v>
      </c>
      <c r="H32" s="22" t="s">
        <v>86</v>
      </c>
    </row>
    <row r="33" spans="1:8" ht="25.15" customHeight="1">
      <c r="A33" s="101" t="s">
        <v>132</v>
      </c>
      <c r="B33" s="130" t="s">
        <v>133</v>
      </c>
      <c r="C33" s="131"/>
      <c r="D33" s="132"/>
      <c r="E33" s="22"/>
      <c r="F33" s="22"/>
      <c r="G33" s="22" t="s">
        <v>86</v>
      </c>
      <c r="H33" s="22" t="s">
        <v>86</v>
      </c>
    </row>
    <row r="34" spans="1:8" ht="25.15" customHeight="1">
      <c r="A34" s="101" t="s">
        <v>134</v>
      </c>
      <c r="B34" s="130" t="s">
        <v>135</v>
      </c>
      <c r="C34" s="131"/>
      <c r="D34" s="132"/>
      <c r="E34" s="22"/>
      <c r="F34" s="22"/>
      <c r="G34" s="22" t="s">
        <v>86</v>
      </c>
      <c r="H34" s="22" t="s">
        <v>86</v>
      </c>
    </row>
    <row r="35" spans="1:8" ht="25.15" customHeight="1">
      <c r="A35" s="101" t="s">
        <v>136</v>
      </c>
      <c r="B35" s="130" t="s">
        <v>137</v>
      </c>
      <c r="C35" s="131"/>
      <c r="D35" s="132"/>
      <c r="E35" s="22"/>
      <c r="F35" s="22"/>
      <c r="G35" s="22" t="s">
        <v>86</v>
      </c>
      <c r="H35" s="22" t="s">
        <v>86</v>
      </c>
    </row>
    <row r="36" spans="1:8" ht="25.15" customHeight="1">
      <c r="A36" s="101" t="s">
        <v>138</v>
      </c>
      <c r="B36" s="130" t="s">
        <v>139</v>
      </c>
      <c r="C36" s="131"/>
      <c r="D36" s="132"/>
      <c r="E36" s="22" t="s">
        <v>140</v>
      </c>
      <c r="F36" s="22" t="s">
        <v>141</v>
      </c>
      <c r="G36" s="22" t="s">
        <v>22</v>
      </c>
      <c r="H36" s="22" t="s">
        <v>86</v>
      </c>
    </row>
    <row r="37" spans="1:8" ht="25.15" customHeight="1">
      <c r="A37" s="101" t="s">
        <v>142</v>
      </c>
      <c r="B37" s="130" t="s">
        <v>143</v>
      </c>
      <c r="C37" s="131"/>
      <c r="D37" s="132"/>
      <c r="E37" s="22"/>
      <c r="F37" s="22"/>
      <c r="G37" s="22" t="s">
        <v>86</v>
      </c>
      <c r="H37" s="22" t="s">
        <v>86</v>
      </c>
    </row>
    <row r="38" spans="1:8" ht="25.15" customHeight="1">
      <c r="A38" s="101" t="s">
        <v>144</v>
      </c>
      <c r="B38" s="130" t="s">
        <v>145</v>
      </c>
      <c r="C38" s="131"/>
      <c r="D38" s="132"/>
      <c r="E38" s="22"/>
      <c r="F38" s="22"/>
      <c r="G38" s="22" t="s">
        <v>86</v>
      </c>
      <c r="H38" s="22" t="s">
        <v>86</v>
      </c>
    </row>
    <row r="39" spans="1:8" ht="25.15" customHeight="1">
      <c r="A39" s="101" t="s">
        <v>146</v>
      </c>
      <c r="B39" s="130" t="s">
        <v>147</v>
      </c>
      <c r="C39" s="131"/>
      <c r="D39" s="132"/>
      <c r="E39" s="22"/>
      <c r="F39" s="22"/>
      <c r="G39" s="22" t="s">
        <v>86</v>
      </c>
      <c r="H39" s="22" t="s">
        <v>86</v>
      </c>
    </row>
    <row r="40" spans="1:8" ht="25.15" customHeight="1">
      <c r="A40" s="101" t="s">
        <v>148</v>
      </c>
      <c r="B40" s="130" t="s">
        <v>149</v>
      </c>
      <c r="C40" s="131"/>
      <c r="D40" s="132"/>
      <c r="E40" s="22"/>
      <c r="F40" s="22"/>
      <c r="G40" s="22" t="s">
        <v>86</v>
      </c>
      <c r="H40" s="22" t="s">
        <v>86</v>
      </c>
    </row>
    <row r="41" spans="1:8" ht="25.15" customHeight="1">
      <c r="A41" s="101" t="s">
        <v>150</v>
      </c>
      <c r="B41" s="130" t="s">
        <v>151</v>
      </c>
      <c r="C41" s="131"/>
      <c r="D41" s="132"/>
      <c r="E41" s="22"/>
      <c r="F41" s="22"/>
      <c r="G41" s="22" t="s">
        <v>86</v>
      </c>
      <c r="H41" s="22" t="s">
        <v>86</v>
      </c>
    </row>
    <row r="42" spans="1:8" ht="25.15" customHeight="1">
      <c r="A42" s="101" t="s">
        <v>152</v>
      </c>
      <c r="B42" s="130" t="s">
        <v>153</v>
      </c>
      <c r="C42" s="131"/>
      <c r="D42" s="132"/>
      <c r="E42" s="22"/>
      <c r="F42" s="22"/>
      <c r="G42" s="22" t="s">
        <v>86</v>
      </c>
      <c r="H42" s="22" t="s">
        <v>86</v>
      </c>
    </row>
    <row r="43" spans="1:8" ht="25.15" customHeight="1">
      <c r="A43" s="101" t="s">
        <v>154</v>
      </c>
      <c r="B43" s="130" t="s">
        <v>155</v>
      </c>
      <c r="C43" s="131"/>
      <c r="D43" s="132"/>
      <c r="E43" s="22"/>
      <c r="F43" s="22"/>
      <c r="G43" s="22" t="s">
        <v>86</v>
      </c>
      <c r="H43" s="22" t="s">
        <v>86</v>
      </c>
    </row>
    <row r="44" spans="1:8" ht="25.15" customHeight="1">
      <c r="A44" s="101" t="s">
        <v>156</v>
      </c>
      <c r="B44" s="130" t="s">
        <v>157</v>
      </c>
      <c r="C44" s="131"/>
      <c r="D44" s="132"/>
      <c r="E44" s="22"/>
      <c r="F44" s="22"/>
      <c r="G44" s="22" t="s">
        <v>86</v>
      </c>
      <c r="H44" s="22" t="s">
        <v>86</v>
      </c>
    </row>
  </sheetData>
  <mergeCells count="68">
    <mergeCell ref="B44:D44"/>
    <mergeCell ref="A29:A30"/>
    <mergeCell ref="H2:H3"/>
    <mergeCell ref="I2:I3"/>
    <mergeCell ref="A9:H10"/>
    <mergeCell ref="B39:D39"/>
    <mergeCell ref="B40:D40"/>
    <mergeCell ref="B41:D41"/>
    <mergeCell ref="B42:D42"/>
    <mergeCell ref="B43:D43"/>
    <mergeCell ref="B34:D34"/>
    <mergeCell ref="B35:D35"/>
    <mergeCell ref="B36:D36"/>
    <mergeCell ref="B37:D37"/>
    <mergeCell ref="B38:D38"/>
    <mergeCell ref="B29:D29"/>
    <mergeCell ref="B30:D30"/>
    <mergeCell ref="B31:D31"/>
    <mergeCell ref="B32:D32"/>
    <mergeCell ref="B33:D33"/>
    <mergeCell ref="A24:B24"/>
    <mergeCell ref="C24:D24"/>
    <mergeCell ref="A25:B25"/>
    <mergeCell ref="C25:D25"/>
    <mergeCell ref="A26:B26"/>
    <mergeCell ref="C26:D26"/>
    <mergeCell ref="A21:B21"/>
    <mergeCell ref="C21:D21"/>
    <mergeCell ref="A22:B22"/>
    <mergeCell ref="C22:D22"/>
    <mergeCell ref="A23:B23"/>
    <mergeCell ref="C23:D23"/>
    <mergeCell ref="A18:B18"/>
    <mergeCell ref="C18:D18"/>
    <mergeCell ref="A19:B19"/>
    <mergeCell ref="C19:D19"/>
    <mergeCell ref="A20:B20"/>
    <mergeCell ref="C20:D20"/>
    <mergeCell ref="A15:B15"/>
    <mergeCell ref="C15:D15"/>
    <mergeCell ref="A16:B16"/>
    <mergeCell ref="C16:D16"/>
    <mergeCell ref="A17:B17"/>
    <mergeCell ref="C17:D17"/>
    <mergeCell ref="A11:D11"/>
    <mergeCell ref="E11:G11"/>
    <mergeCell ref="A12:D12"/>
    <mergeCell ref="E12:G12"/>
    <mergeCell ref="A14:B14"/>
    <mergeCell ref="C14:D14"/>
    <mergeCell ref="A6:B6"/>
    <mergeCell ref="C6:D6"/>
    <mergeCell ref="F6:G6"/>
    <mergeCell ref="A7:B7"/>
    <mergeCell ref="C7:D7"/>
    <mergeCell ref="F7:G7"/>
    <mergeCell ref="A4:B4"/>
    <mergeCell ref="C4:D4"/>
    <mergeCell ref="F4:G4"/>
    <mergeCell ref="A5:B5"/>
    <mergeCell ref="C5:D5"/>
    <mergeCell ref="F5:G5"/>
    <mergeCell ref="A2:B2"/>
    <mergeCell ref="C2:D2"/>
    <mergeCell ref="F2:G2"/>
    <mergeCell ref="A3:B3"/>
    <mergeCell ref="C3:D3"/>
    <mergeCell ref="F3:G3"/>
  </mergeCells>
  <pageMargins left="0.39370078740157499" right="0.39370078740157499" top="0.90551181102362199" bottom="0.74803149606299202" header="0.31496062992126" footer="0.31496062992126"/>
  <pageSetup paperSize="9" scale="75" orientation="portrait" r:id="rId1"/>
  <headerFooter>
    <oddHeader>&amp;C&amp;G</oddHeader>
    <oddFooter>&amp;L&amp;"-,Bold"&amp;10Doc Name: Food Specification   Doc Number: BASIC-18   Version: V04   Issue Date: 11/02/2021Issued By: Ling Hsuan Chiu   Authorised By: Emma Du&amp;R&amp;"-,Bold"&amp;10Confidential&amp;"-,Regular"&amp;D - Page &amp;P of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J37"/>
  <sheetViews>
    <sheetView zoomScale="86" workbookViewId="0">
      <selection activeCell="F21" sqref="F21"/>
    </sheetView>
  </sheetViews>
  <sheetFormatPr defaultColWidth="9.28515625" defaultRowHeight="15"/>
  <cols>
    <col min="1" max="1" width="35.7109375" style="14" customWidth="1"/>
    <col min="2" max="2" width="17.28515625" style="14" customWidth="1"/>
    <col min="3" max="3" width="16.7109375" style="14" customWidth="1"/>
    <col min="4" max="4" width="17.28515625" style="14" customWidth="1"/>
    <col min="5" max="5" width="20.28515625" style="14" customWidth="1"/>
    <col min="6" max="6" width="17" style="14" customWidth="1"/>
    <col min="7" max="7" width="16.28515625" style="14" customWidth="1"/>
    <col min="8" max="8" width="17" style="14" customWidth="1"/>
    <col min="9" max="9" width="14.28515625" style="14" customWidth="1"/>
    <col min="10" max="16384" width="9.28515625" style="14"/>
  </cols>
  <sheetData>
    <row r="1" spans="1:10" s="4" customFormat="1" ht="30" customHeight="1">
      <c r="A1" s="8" t="s">
        <v>158</v>
      </c>
      <c r="B1" s="8"/>
      <c r="C1" s="8"/>
      <c r="D1" s="8"/>
      <c r="E1" s="8"/>
      <c r="G1" s="56"/>
      <c r="H1" s="56"/>
    </row>
    <row r="2" spans="1:10" ht="25.15" customHeight="1">
      <c r="A2" s="163" t="s">
        <v>159</v>
      </c>
      <c r="B2" s="164"/>
      <c r="C2" s="57" t="s">
        <v>160</v>
      </c>
      <c r="D2" s="58" t="s">
        <v>161</v>
      </c>
      <c r="E2" s="59" t="s">
        <v>162</v>
      </c>
      <c r="G2" s="56"/>
      <c r="H2" s="56"/>
    </row>
    <row r="3" spans="1:10" ht="15" customHeight="1">
      <c r="A3" s="165" t="s">
        <v>163</v>
      </c>
      <c r="B3" s="166"/>
      <c r="C3" s="60"/>
      <c r="D3" s="20" t="s">
        <v>164</v>
      </c>
      <c r="E3" s="20" t="s">
        <v>165</v>
      </c>
      <c r="G3" s="56"/>
      <c r="H3" s="56"/>
    </row>
    <row r="4" spans="1:10" ht="15" customHeight="1">
      <c r="A4" s="165" t="s">
        <v>166</v>
      </c>
      <c r="B4" s="166"/>
      <c r="C4" s="60"/>
      <c r="D4" s="20" t="s">
        <v>167</v>
      </c>
      <c r="E4" s="20" t="s">
        <v>165</v>
      </c>
      <c r="F4" s="61" t="s">
        <v>168</v>
      </c>
      <c r="G4" s="56"/>
      <c r="H4" s="56"/>
    </row>
    <row r="5" spans="1:10" ht="15" customHeight="1">
      <c r="A5" s="165" t="s">
        <v>169</v>
      </c>
      <c r="B5" s="166"/>
      <c r="C5" s="60"/>
      <c r="D5" s="33" t="s">
        <v>170</v>
      </c>
      <c r="E5" s="33" t="s">
        <v>165</v>
      </c>
      <c r="F5" s="62" t="s">
        <v>171</v>
      </c>
      <c r="G5" s="56"/>
      <c r="H5" s="56"/>
    </row>
    <row r="6" spans="1:10" ht="15" customHeight="1">
      <c r="A6" s="165" t="s">
        <v>172</v>
      </c>
      <c r="B6" s="166"/>
      <c r="C6" s="60"/>
      <c r="D6" s="33" t="s">
        <v>173</v>
      </c>
      <c r="E6" s="33" t="s">
        <v>174</v>
      </c>
      <c r="G6" s="56"/>
      <c r="H6" s="56"/>
    </row>
    <row r="7" spans="1:10" ht="25.15" customHeight="1">
      <c r="G7" s="56"/>
      <c r="H7" s="56"/>
    </row>
    <row r="8" spans="1:10" ht="25.15" customHeight="1">
      <c r="A8" s="8" t="s">
        <v>175</v>
      </c>
      <c r="B8" s="8"/>
      <c r="C8" s="8"/>
      <c r="D8" s="8"/>
      <c r="E8" s="8"/>
      <c r="F8" s="4"/>
      <c r="G8" s="56"/>
      <c r="H8" s="56"/>
    </row>
    <row r="9" spans="1:10" ht="25.15" customHeight="1">
      <c r="A9" s="167" t="s">
        <v>176</v>
      </c>
      <c r="B9" s="168"/>
      <c r="C9" s="168"/>
      <c r="D9" s="168"/>
      <c r="E9" s="169"/>
      <c r="F9" s="63" t="s">
        <v>86</v>
      </c>
    </row>
    <row r="10" spans="1:10" s="4" customFormat="1" ht="30" customHeight="1">
      <c r="A10" s="167" t="s">
        <v>177</v>
      </c>
      <c r="B10" s="168"/>
      <c r="C10" s="168"/>
      <c r="D10" s="168"/>
      <c r="E10" s="169"/>
      <c r="F10" s="22" t="s">
        <v>86</v>
      </c>
      <c r="H10" s="64"/>
      <c r="I10" s="64"/>
    </row>
    <row r="11" spans="1:10" ht="25.15" customHeight="1">
      <c r="A11" s="8" t="s">
        <v>178</v>
      </c>
      <c r="B11" s="170" t="s">
        <v>179</v>
      </c>
      <c r="C11" s="170"/>
      <c r="D11" s="170"/>
      <c r="E11" s="170"/>
      <c r="F11" s="170"/>
      <c r="H11" s="56"/>
      <c r="I11" s="56"/>
    </row>
    <row r="12" spans="1:10" ht="25.15" customHeight="1">
      <c r="A12" s="171" t="s">
        <v>180</v>
      </c>
      <c r="B12" s="172"/>
      <c r="C12" s="172"/>
      <c r="D12" s="172"/>
      <c r="E12" s="173"/>
      <c r="F12" s="22" t="s">
        <v>86</v>
      </c>
      <c r="H12" s="56"/>
      <c r="I12" s="56"/>
    </row>
    <row r="13" spans="1:10" s="4" customFormat="1" ht="30" customHeight="1">
      <c r="A13" s="171" t="s">
        <v>181</v>
      </c>
      <c r="B13" s="172"/>
      <c r="C13" s="172" t="s">
        <v>127</v>
      </c>
      <c r="D13" s="172" t="s">
        <v>127</v>
      </c>
      <c r="E13" s="173" t="s">
        <v>127</v>
      </c>
      <c r="F13" s="22" t="s">
        <v>86</v>
      </c>
      <c r="H13" s="64"/>
      <c r="I13" s="64"/>
      <c r="J13" s="64"/>
    </row>
    <row r="14" spans="1:10" ht="25.15" customHeight="1">
      <c r="A14" s="171" t="s">
        <v>182</v>
      </c>
      <c r="B14" s="172"/>
      <c r="C14" s="172"/>
      <c r="D14" s="172"/>
      <c r="E14" s="173"/>
      <c r="F14" s="39" t="s">
        <v>19</v>
      </c>
      <c r="H14" s="56"/>
      <c r="I14" s="56"/>
      <c r="J14" s="56"/>
    </row>
    <row r="15" spans="1:10" ht="25.15" customHeight="1">
      <c r="A15" s="171" t="s">
        <v>183</v>
      </c>
      <c r="B15" s="172"/>
      <c r="C15" s="172" t="s">
        <v>127</v>
      </c>
      <c r="D15" s="172" t="s">
        <v>127</v>
      </c>
      <c r="E15" s="173" t="s">
        <v>127</v>
      </c>
      <c r="F15" s="22" t="s">
        <v>86</v>
      </c>
      <c r="H15" s="56"/>
      <c r="I15" s="56"/>
      <c r="J15" s="56"/>
    </row>
    <row r="16" spans="1:10" ht="25.15" customHeight="1">
      <c r="A16" s="171" t="s">
        <v>184</v>
      </c>
      <c r="B16" s="172"/>
      <c r="C16" s="172"/>
      <c r="D16" s="172"/>
      <c r="E16" s="173"/>
      <c r="F16" s="39" t="s">
        <v>19</v>
      </c>
      <c r="H16" s="56"/>
      <c r="I16" s="56"/>
      <c r="J16" s="56"/>
    </row>
    <row r="17" spans="1:10" ht="25.15" customHeight="1">
      <c r="A17" s="8" t="s">
        <v>185</v>
      </c>
      <c r="B17" s="65" t="s">
        <v>186</v>
      </c>
      <c r="C17" s="65"/>
      <c r="D17" s="65"/>
      <c r="E17" s="8"/>
      <c r="F17" s="15"/>
      <c r="H17" s="56"/>
      <c r="I17" s="56"/>
      <c r="J17" s="56"/>
    </row>
    <row r="18" spans="1:10" ht="51" customHeight="1">
      <c r="A18" s="66" t="s">
        <v>187</v>
      </c>
      <c r="B18" s="66" t="s">
        <v>188</v>
      </c>
      <c r="C18" s="67" t="s">
        <v>189</v>
      </c>
      <c r="D18" s="67" t="s">
        <v>190</v>
      </c>
      <c r="E18" s="67" t="s">
        <v>191</v>
      </c>
      <c r="F18" s="68" t="s">
        <v>162</v>
      </c>
      <c r="H18" s="56"/>
      <c r="I18" s="56"/>
      <c r="J18" s="56"/>
    </row>
    <row r="19" spans="1:10" s="4" customFormat="1" ht="30" customHeight="1">
      <c r="A19" s="69" t="s">
        <v>192</v>
      </c>
      <c r="B19" s="70" t="s">
        <v>193</v>
      </c>
      <c r="C19" s="71" t="s">
        <v>194</v>
      </c>
      <c r="D19" s="71" t="s">
        <v>195</v>
      </c>
      <c r="E19" s="71" t="s">
        <v>195</v>
      </c>
      <c r="F19" s="71" t="s">
        <v>196</v>
      </c>
      <c r="G19" s="42" t="s">
        <v>197</v>
      </c>
      <c r="H19" s="42"/>
      <c r="I19" s="56"/>
    </row>
    <row r="20" spans="1:10" ht="30" customHeight="1">
      <c r="A20" s="69" t="s">
        <v>198</v>
      </c>
      <c r="B20" s="70" t="s">
        <v>199</v>
      </c>
      <c r="C20" s="71" t="s">
        <v>200</v>
      </c>
      <c r="D20" s="71" t="s">
        <v>201</v>
      </c>
      <c r="E20" s="71" t="s">
        <v>202</v>
      </c>
      <c r="F20" s="71" t="s">
        <v>203</v>
      </c>
      <c r="G20" s="42" t="s">
        <v>197</v>
      </c>
      <c r="H20" s="72"/>
      <c r="I20" s="4"/>
    </row>
    <row r="21" spans="1:10" ht="30" customHeight="1">
      <c r="A21" s="69" t="s">
        <v>204</v>
      </c>
      <c r="B21" s="70" t="s">
        <v>199</v>
      </c>
      <c r="C21" s="71" t="s">
        <v>205</v>
      </c>
      <c r="D21" s="73" t="s">
        <v>206</v>
      </c>
      <c r="E21" s="73" t="s">
        <v>206</v>
      </c>
      <c r="F21" s="73" t="s">
        <v>206</v>
      </c>
      <c r="G21" s="42" t="s">
        <v>197</v>
      </c>
      <c r="H21" s="42"/>
    </row>
    <row r="22" spans="1:10" ht="30" customHeight="1">
      <c r="A22" s="69" t="s">
        <v>207</v>
      </c>
      <c r="B22" s="70" t="s">
        <v>199</v>
      </c>
      <c r="C22" s="71" t="s">
        <v>208</v>
      </c>
      <c r="D22" s="73" t="s">
        <v>206</v>
      </c>
      <c r="E22" s="73" t="s">
        <v>206</v>
      </c>
      <c r="F22" s="73" t="s">
        <v>206</v>
      </c>
      <c r="G22" s="42" t="s">
        <v>197</v>
      </c>
      <c r="H22" s="42"/>
    </row>
    <row r="23" spans="1:10" ht="30" customHeight="1">
      <c r="A23" s="69" t="s">
        <v>209</v>
      </c>
      <c r="B23" s="70" t="s">
        <v>210</v>
      </c>
      <c r="C23" s="71" t="s">
        <v>208</v>
      </c>
      <c r="D23" s="73" t="s">
        <v>206</v>
      </c>
      <c r="E23" s="73" t="s">
        <v>206</v>
      </c>
      <c r="F23" s="73" t="s">
        <v>206</v>
      </c>
      <c r="G23" s="42" t="s">
        <v>197</v>
      </c>
      <c r="H23" s="42"/>
    </row>
    <row r="24" spans="1:10" ht="30" customHeight="1">
      <c r="A24" s="69" t="s">
        <v>211</v>
      </c>
      <c r="B24" s="70" t="s">
        <v>210</v>
      </c>
      <c r="C24" s="71" t="s">
        <v>208</v>
      </c>
      <c r="D24" s="73" t="s">
        <v>206</v>
      </c>
      <c r="E24" s="73" t="s">
        <v>206</v>
      </c>
      <c r="F24" s="73" t="s">
        <v>206</v>
      </c>
      <c r="G24" s="42" t="s">
        <v>197</v>
      </c>
      <c r="H24" s="42"/>
    </row>
    <row r="25" spans="1:10" ht="30" customHeight="1">
      <c r="A25" s="69" t="s">
        <v>212</v>
      </c>
      <c r="B25" s="70" t="s">
        <v>210</v>
      </c>
      <c r="C25" s="71" t="s">
        <v>208</v>
      </c>
      <c r="D25" s="73" t="s">
        <v>206</v>
      </c>
      <c r="E25" s="73" t="s">
        <v>206</v>
      </c>
      <c r="F25" s="73" t="s">
        <v>206</v>
      </c>
      <c r="G25" s="42" t="s">
        <v>197</v>
      </c>
      <c r="H25" s="42"/>
    </row>
    <row r="26" spans="1:10" ht="30" customHeight="1">
      <c r="A26" s="69" t="s">
        <v>213</v>
      </c>
      <c r="B26" s="70" t="s">
        <v>210</v>
      </c>
      <c r="C26" s="71" t="s">
        <v>208</v>
      </c>
      <c r="D26" s="71" t="s">
        <v>214</v>
      </c>
      <c r="E26" s="71" t="s">
        <v>214</v>
      </c>
      <c r="F26" s="71" t="s">
        <v>165</v>
      </c>
      <c r="G26" s="42" t="s">
        <v>197</v>
      </c>
      <c r="H26" s="42"/>
    </row>
    <row r="27" spans="1:10" ht="30" customHeight="1">
      <c r="A27" s="69" t="s">
        <v>215</v>
      </c>
      <c r="B27" s="70" t="s">
        <v>210</v>
      </c>
      <c r="C27" s="71" t="s">
        <v>208</v>
      </c>
      <c r="D27" s="73" t="s">
        <v>206</v>
      </c>
      <c r="E27" s="73" t="s">
        <v>206</v>
      </c>
      <c r="F27" s="73" t="s">
        <v>206</v>
      </c>
      <c r="G27" s="42" t="s">
        <v>197</v>
      </c>
      <c r="H27" s="42"/>
    </row>
    <row r="28" spans="1:10" ht="30" customHeight="1">
      <c r="A28" s="69" t="s">
        <v>216</v>
      </c>
      <c r="B28" s="70" t="s">
        <v>210</v>
      </c>
      <c r="C28" s="71" t="s">
        <v>208</v>
      </c>
      <c r="D28" s="73" t="s">
        <v>206</v>
      </c>
      <c r="E28" s="73" t="s">
        <v>206</v>
      </c>
      <c r="F28" s="73" t="s">
        <v>206</v>
      </c>
      <c r="G28" s="42" t="s">
        <v>197</v>
      </c>
      <c r="H28" s="42"/>
    </row>
    <row r="29" spans="1:10" ht="30" customHeight="1">
      <c r="A29" s="69" t="s">
        <v>217</v>
      </c>
      <c r="B29" s="70" t="s">
        <v>210</v>
      </c>
      <c r="C29" s="71" t="s">
        <v>200</v>
      </c>
      <c r="D29" s="73" t="s">
        <v>206</v>
      </c>
      <c r="E29" s="73" t="s">
        <v>206</v>
      </c>
      <c r="F29" s="73" t="s">
        <v>206</v>
      </c>
      <c r="G29" s="42" t="s">
        <v>197</v>
      </c>
      <c r="H29" s="42"/>
    </row>
    <row r="30" spans="1:10" ht="30" customHeight="1">
      <c r="A30" s="69" t="s">
        <v>218</v>
      </c>
      <c r="B30" s="70" t="s">
        <v>210</v>
      </c>
      <c r="C30" s="71" t="s">
        <v>219</v>
      </c>
      <c r="D30" s="73" t="s">
        <v>206</v>
      </c>
      <c r="E30" s="73" t="s">
        <v>206</v>
      </c>
      <c r="F30" s="73" t="s">
        <v>206</v>
      </c>
      <c r="G30" s="42" t="s">
        <v>197</v>
      </c>
      <c r="H30" s="42"/>
    </row>
    <row r="31" spans="1:10" ht="30" customHeight="1">
      <c r="A31" s="69" t="s">
        <v>220</v>
      </c>
      <c r="B31" s="70" t="s">
        <v>210</v>
      </c>
      <c r="C31" s="71" t="s">
        <v>219</v>
      </c>
      <c r="D31" s="73" t="s">
        <v>206</v>
      </c>
      <c r="E31" s="73" t="s">
        <v>206</v>
      </c>
      <c r="F31" s="73" t="s">
        <v>206</v>
      </c>
      <c r="G31" s="42" t="s">
        <v>197</v>
      </c>
      <c r="H31" s="42"/>
    </row>
    <row r="32" spans="1:10" ht="30" customHeight="1">
      <c r="A32" s="69" t="s">
        <v>221</v>
      </c>
      <c r="B32" s="70" t="s">
        <v>210</v>
      </c>
      <c r="C32" s="71" t="s">
        <v>222</v>
      </c>
      <c r="D32" s="73" t="s">
        <v>206</v>
      </c>
      <c r="E32" s="73" t="s">
        <v>206</v>
      </c>
      <c r="F32" s="73" t="s">
        <v>206</v>
      </c>
      <c r="G32" s="42" t="s">
        <v>197</v>
      </c>
      <c r="H32" s="42"/>
    </row>
    <row r="33" spans="1:8" ht="30" customHeight="1">
      <c r="A33" s="69" t="s">
        <v>223</v>
      </c>
      <c r="B33" s="70" t="s">
        <v>210</v>
      </c>
      <c r="C33" s="71" t="s">
        <v>200</v>
      </c>
      <c r="D33" s="71" t="s">
        <v>201</v>
      </c>
      <c r="E33" s="71" t="s">
        <v>201</v>
      </c>
      <c r="F33" s="71" t="s">
        <v>165</v>
      </c>
      <c r="G33" s="42" t="s">
        <v>197</v>
      </c>
      <c r="H33" s="42"/>
    </row>
    <row r="34" spans="1:8" ht="25.15" customHeight="1">
      <c r="A34" s="8" t="s">
        <v>224</v>
      </c>
      <c r="B34" s="8"/>
      <c r="C34" s="8"/>
      <c r="D34" s="4"/>
      <c r="E34" s="74"/>
      <c r="F34" s="4"/>
      <c r="G34" s="42"/>
      <c r="H34" s="42"/>
    </row>
    <row r="35" spans="1:8" ht="25.15" customHeight="1">
      <c r="A35" s="135" t="s">
        <v>225</v>
      </c>
      <c r="B35" s="135"/>
      <c r="C35" s="182" t="s">
        <v>226</v>
      </c>
      <c r="D35" s="183"/>
      <c r="E35" s="184"/>
    </row>
    <row r="36" spans="1:8" s="4" customFormat="1" ht="30" customHeight="1">
      <c r="A36" s="174" t="s">
        <v>227</v>
      </c>
      <c r="B36" s="174"/>
      <c r="C36" s="175" t="s">
        <v>227</v>
      </c>
      <c r="D36" s="176"/>
      <c r="E36" s="177"/>
      <c r="F36" s="14"/>
    </row>
    <row r="37" spans="1:8" ht="104.65" customHeight="1">
      <c r="A37" s="178" t="s">
        <v>228</v>
      </c>
      <c r="B37" s="178"/>
      <c r="C37" s="179" t="s">
        <v>229</v>
      </c>
      <c r="D37" s="180"/>
      <c r="E37" s="181"/>
    </row>
  </sheetData>
  <mergeCells count="19">
    <mergeCell ref="A36:B36"/>
    <mergeCell ref="C36:E36"/>
    <mergeCell ref="A37:B37"/>
    <mergeCell ref="C37:E37"/>
    <mergeCell ref="A14:E14"/>
    <mergeCell ref="A15:E15"/>
    <mergeCell ref="A16:E16"/>
    <mergeCell ref="A35:B35"/>
    <mergeCell ref="C35:E35"/>
    <mergeCell ref="A9:E9"/>
    <mergeCell ref="A10:E10"/>
    <mergeCell ref="B11:F11"/>
    <mergeCell ref="A12:E12"/>
    <mergeCell ref="A13:E13"/>
    <mergeCell ref="A2:B2"/>
    <mergeCell ref="A3:B3"/>
    <mergeCell ref="A4:B4"/>
    <mergeCell ref="A5:B5"/>
    <mergeCell ref="A6:B6"/>
  </mergeCells>
  <pageMargins left="0.43307086614173201" right="0.39370078740157499" top="0.90551181102362199" bottom="0.62992125984252001" header="0.31496062992126" footer="0.31496062992126"/>
  <pageSetup paperSize="9" scale="59" orientation="portrait"/>
  <headerFooter>
    <oddHeader>&amp;C&amp;G</oddHeader>
    <oddFooter>&amp;L&amp;"-,Bold"&amp;10Doc Name: Food Specification   Doc Number: BASIC-18   Version: V04   Issue Date: 11/02/2021Issued By: Ling Hsuan Chiu   Authorised By: Emma Du&amp;R&amp;"-,Bold"&amp;10Confidential&amp;"-,Regular" &amp;D - Page &amp;P of &amp;N</oddFooter>
  </headerFooter>
  <drawing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K29"/>
  <sheetViews>
    <sheetView tabSelected="1" workbookViewId="0">
      <selection activeCell="F20" sqref="F20"/>
    </sheetView>
  </sheetViews>
  <sheetFormatPr defaultColWidth="9.28515625" defaultRowHeight="15"/>
  <cols>
    <col min="1" max="1" width="29" style="14" customWidth="1"/>
    <col min="2" max="3" width="20.7109375" style="14" customWidth="1"/>
    <col min="4" max="4" width="21.7109375" style="14" customWidth="1"/>
    <col min="5" max="5" width="6.28515625" style="14" customWidth="1"/>
    <col min="6" max="6" width="15.28515625" style="14" customWidth="1"/>
    <col min="7" max="7" width="32.28515625" style="14" customWidth="1"/>
    <col min="8" max="8" width="12.28515625" style="14" customWidth="1"/>
    <col min="9" max="9" width="15.7109375" style="14" customWidth="1"/>
    <col min="10" max="16384" width="9.28515625" style="14"/>
  </cols>
  <sheetData>
    <row r="1" spans="1:11" ht="30" customHeight="1">
      <c r="A1" s="146" t="s">
        <v>230</v>
      </c>
      <c r="B1" s="146"/>
      <c r="C1" s="146"/>
      <c r="E1" s="32"/>
      <c r="G1" s="32"/>
    </row>
    <row r="2" spans="1:11">
      <c r="A2" s="33"/>
      <c r="B2" s="34" t="s">
        <v>231</v>
      </c>
      <c r="C2" s="34" t="s">
        <v>232</v>
      </c>
      <c r="G2" s="32"/>
    </row>
    <row r="3" spans="1:11" ht="25.15" customHeight="1">
      <c r="A3" s="33" t="s">
        <v>233</v>
      </c>
      <c r="B3" s="35">
        <v>1.1000000000000001</v>
      </c>
      <c r="C3" s="36">
        <v>13.32</v>
      </c>
      <c r="G3" s="32"/>
      <c r="I3" s="29"/>
      <c r="J3" s="29"/>
      <c r="K3" s="29"/>
    </row>
    <row r="4" spans="1:11" ht="25.15" customHeight="1">
      <c r="A4" s="33" t="s">
        <v>234</v>
      </c>
      <c r="B4" s="37">
        <v>1.159</v>
      </c>
      <c r="C4" s="36">
        <v>14.72</v>
      </c>
      <c r="D4" s="38"/>
      <c r="G4" s="32"/>
      <c r="I4" s="29"/>
      <c r="J4" s="29"/>
      <c r="K4" s="29"/>
    </row>
    <row r="5" spans="1:11" ht="31.9" customHeight="1">
      <c r="A5" s="185" t="s">
        <v>235</v>
      </c>
      <c r="B5" s="185"/>
      <c r="C5" s="185"/>
      <c r="D5" s="39" t="s">
        <v>86</v>
      </c>
    </row>
    <row r="6" spans="1:11" ht="15" customHeight="1">
      <c r="A6" s="185" t="s">
        <v>236</v>
      </c>
      <c r="B6" s="185"/>
      <c r="C6" s="185"/>
      <c r="D6" s="39" t="s">
        <v>86</v>
      </c>
      <c r="F6" s="40"/>
    </row>
    <row r="7" spans="1:11" ht="15" customHeight="1">
      <c r="A7" s="185" t="s">
        <v>237</v>
      </c>
      <c r="B7" s="185"/>
      <c r="C7" s="185"/>
      <c r="D7" s="41" t="s">
        <v>22</v>
      </c>
      <c r="E7" s="42" t="s">
        <v>238</v>
      </c>
      <c r="F7" s="43"/>
    </row>
    <row r="8" spans="1:11" ht="30" customHeight="1">
      <c r="A8" s="8" t="s">
        <v>239</v>
      </c>
    </row>
    <row r="9" spans="1:11" ht="15" customHeight="1">
      <c r="A9" s="133"/>
      <c r="B9" s="192" t="s">
        <v>240</v>
      </c>
      <c r="C9" s="196" t="s">
        <v>241</v>
      </c>
      <c r="D9" s="196" t="s">
        <v>242</v>
      </c>
      <c r="E9" s="199" t="s">
        <v>243</v>
      </c>
      <c r="F9" s="200"/>
    </row>
    <row r="10" spans="1:11" ht="21" customHeight="1">
      <c r="A10" s="134"/>
      <c r="B10" s="193"/>
      <c r="C10" s="193"/>
      <c r="D10" s="197"/>
      <c r="E10" s="201"/>
      <c r="F10" s="202"/>
    </row>
    <row r="11" spans="1:11" ht="15" customHeight="1">
      <c r="A11" s="188" t="s">
        <v>244</v>
      </c>
      <c r="B11" s="194" t="s">
        <v>245</v>
      </c>
      <c r="C11" s="203" t="s">
        <v>246</v>
      </c>
      <c r="D11" s="198">
        <v>59</v>
      </c>
      <c r="E11" s="44" t="s">
        <v>247</v>
      </c>
      <c r="F11" s="45">
        <v>84</v>
      </c>
    </row>
    <row r="12" spans="1:11" ht="15" customHeight="1">
      <c r="A12" s="188"/>
      <c r="B12" s="194"/>
      <c r="C12" s="204"/>
      <c r="D12" s="198"/>
      <c r="E12" s="44" t="s">
        <v>248</v>
      </c>
      <c r="F12" s="45">
        <v>84</v>
      </c>
    </row>
    <row r="13" spans="1:11" ht="15" customHeight="1">
      <c r="A13" s="188"/>
      <c r="B13" s="194"/>
      <c r="C13" s="205"/>
      <c r="D13" s="198"/>
      <c r="E13" s="44" t="s">
        <v>249</v>
      </c>
      <c r="F13" s="45">
        <v>268</v>
      </c>
    </row>
    <row r="14" spans="1:11" ht="15" customHeight="1">
      <c r="A14" s="189" t="s">
        <v>250</v>
      </c>
      <c r="B14" s="195" t="s">
        <v>251</v>
      </c>
      <c r="C14" s="203" t="s">
        <v>252</v>
      </c>
      <c r="D14" s="198">
        <v>611</v>
      </c>
      <c r="E14" s="44" t="s">
        <v>247</v>
      </c>
      <c r="F14" s="45">
        <v>340</v>
      </c>
    </row>
    <row r="15" spans="1:11" ht="15" customHeight="1">
      <c r="A15" s="190"/>
      <c r="B15" s="195"/>
      <c r="C15" s="204"/>
      <c r="D15" s="198"/>
      <c r="E15" s="44" t="s">
        <v>248</v>
      </c>
      <c r="F15" s="45">
        <v>263</v>
      </c>
    </row>
    <row r="16" spans="1:11" ht="15" customHeight="1">
      <c r="A16" s="191"/>
      <c r="B16" s="195"/>
      <c r="C16" s="205"/>
      <c r="D16" s="198"/>
      <c r="E16" s="44" t="s">
        <v>249</v>
      </c>
      <c r="F16" s="45">
        <v>276</v>
      </c>
    </row>
    <row r="17" spans="1:6" ht="15" customHeight="1">
      <c r="A17" s="46" t="s">
        <v>253</v>
      </c>
      <c r="B17" s="186">
        <f>26/(F11/1000*F12/1000*F13/1000)</f>
        <v>13749.280806850104</v>
      </c>
      <c r="C17" s="187"/>
      <c r="D17" s="47"/>
      <c r="E17" s="48"/>
      <c r="F17" s="49"/>
    </row>
    <row r="18" spans="1:6" ht="15" customHeight="1">
      <c r="A18" s="46" t="s">
        <v>254</v>
      </c>
      <c r="B18" s="186">
        <f>45/(F11/1000*F12/1000*F13/1000)</f>
        <v>23796.832165702101</v>
      </c>
      <c r="C18" s="187"/>
      <c r="D18" s="47"/>
      <c r="E18" s="48"/>
      <c r="F18" s="49"/>
    </row>
    <row r="19" spans="1:6" ht="15" customHeight="1">
      <c r="A19" s="50"/>
      <c r="B19" s="25"/>
      <c r="C19" s="25"/>
      <c r="D19" s="25"/>
    </row>
    <row r="20" spans="1:6" ht="30" customHeight="1">
      <c r="A20" s="8" t="s">
        <v>255</v>
      </c>
    </row>
    <row r="21" spans="1:6" ht="33" customHeight="1">
      <c r="A21" s="33"/>
      <c r="B21" s="11" t="s">
        <v>256</v>
      </c>
      <c r="C21" s="11" t="s">
        <v>257</v>
      </c>
      <c r="D21" s="29"/>
      <c r="E21" s="29"/>
    </row>
    <row r="22" spans="1:6" ht="20.100000000000001" customHeight="1">
      <c r="A22" s="51" t="s">
        <v>258</v>
      </c>
      <c r="B22" s="22">
        <v>11</v>
      </c>
      <c r="C22" s="22">
        <v>9</v>
      </c>
      <c r="D22" s="29"/>
      <c r="E22" s="29"/>
    </row>
    <row r="23" spans="1:6" ht="20.100000000000001" customHeight="1">
      <c r="A23" s="51" t="s">
        <v>259</v>
      </c>
      <c r="B23" s="22">
        <v>6</v>
      </c>
      <c r="C23" s="22">
        <v>6</v>
      </c>
      <c r="D23" s="29"/>
      <c r="E23" s="29"/>
    </row>
    <row r="24" spans="1:6" ht="20.100000000000001" customHeight="1">
      <c r="A24" s="51" t="s">
        <v>260</v>
      </c>
      <c r="B24" s="22">
        <f>B22*B23</f>
        <v>66</v>
      </c>
      <c r="C24" s="22">
        <f>C22*C23</f>
        <v>54</v>
      </c>
      <c r="D24" s="29">
        <f>C24*10</f>
        <v>540</v>
      </c>
      <c r="E24" s="29"/>
    </row>
    <row r="25" spans="1:6" ht="20.100000000000001" customHeight="1">
      <c r="A25" s="51" t="s">
        <v>261</v>
      </c>
      <c r="B25" s="52">
        <f>F13/1000*B23</f>
        <v>1.6080000000000001</v>
      </c>
      <c r="C25" s="52">
        <f>F13/1000*C23</f>
        <v>1.6080000000000001</v>
      </c>
      <c r="D25" s="29"/>
      <c r="E25" s="29"/>
    </row>
    <row r="26" spans="1:6" ht="20.100000000000001" customHeight="1">
      <c r="A26" s="51" t="s">
        <v>262</v>
      </c>
      <c r="B26" s="53">
        <f>C1*B22*B23</f>
        <v>0</v>
      </c>
      <c r="C26" s="53">
        <f>C1*C22*C23</f>
        <v>0</v>
      </c>
      <c r="D26" s="29"/>
      <c r="E26" s="29"/>
    </row>
    <row r="27" spans="1:6" ht="102.6" customHeight="1">
      <c r="A27" s="51" t="s">
        <v>263</v>
      </c>
      <c r="B27" s="22"/>
      <c r="C27" s="22"/>
      <c r="D27" s="29"/>
      <c r="E27" s="29"/>
    </row>
    <row r="28" spans="1:6" ht="20.100000000000001" customHeight="1">
      <c r="B28" s="54" t="s">
        <v>264</v>
      </c>
      <c r="D28" s="29"/>
      <c r="E28" s="29"/>
    </row>
    <row r="29" spans="1:6">
      <c r="B29" s="55"/>
    </row>
  </sheetData>
  <mergeCells count="19">
    <mergeCell ref="D9:D10"/>
    <mergeCell ref="D11:D13"/>
    <mergeCell ref="D14:D16"/>
    <mergeCell ref="E9:F10"/>
    <mergeCell ref="B18:C18"/>
    <mergeCell ref="C9:C10"/>
    <mergeCell ref="C11:C13"/>
    <mergeCell ref="C14:C16"/>
    <mergeCell ref="A1:C1"/>
    <mergeCell ref="A5:C5"/>
    <mergeCell ref="A6:C6"/>
    <mergeCell ref="A7:C7"/>
    <mergeCell ref="B17:C17"/>
    <mergeCell ref="A9:A10"/>
    <mergeCell ref="A11:A13"/>
    <mergeCell ref="A14:A16"/>
    <mergeCell ref="B9:B10"/>
    <mergeCell ref="B11:B13"/>
    <mergeCell ref="B14:B16"/>
  </mergeCells>
  <pageMargins left="0.39370078740157499" right="0.39370078740157499" top="1.14173228346457" bottom="0.66929133858267698" header="0.39370078740157499" footer="0.31496062992126"/>
  <pageSetup paperSize="9" scale="87" orientation="portrait"/>
  <headerFooter>
    <oddHeader>&amp;C&amp;G</oddHeader>
    <oddFooter>&amp;L&amp;"-,Bold"&amp;10Doc Name: Food Specification   Doc Number: BASIC-18   Version: V04   Issue Date: 11/02/2021Issued By: Ling Hsuan Chiu   Authorised By: Emma Du&amp;R&amp;"-,Bold"&amp;10Confidential&amp;"-,Regular" &amp;D - Page &amp;P of &amp;N</oddFooter>
  </headerFooter>
  <drawing r:id="rId1"/>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32"/>
  <sheetViews>
    <sheetView zoomScale="76" zoomScaleNormal="76" workbookViewId="0">
      <selection activeCell="H4" sqref="H4"/>
    </sheetView>
  </sheetViews>
  <sheetFormatPr defaultColWidth="9.28515625" defaultRowHeight="15"/>
  <cols>
    <col min="1" max="1" width="35.7109375" style="14" customWidth="1"/>
    <col min="2" max="2" width="19.28515625" style="14" customWidth="1"/>
    <col min="3" max="3" width="15.7109375" style="14" customWidth="1"/>
    <col min="4" max="4" width="51.7109375" style="14" customWidth="1"/>
    <col min="5" max="5" width="20.28515625" style="14" customWidth="1"/>
    <col min="6" max="6" width="7.28515625" style="14" customWidth="1"/>
    <col min="7" max="7" width="11.7109375" style="14" customWidth="1"/>
    <col min="8" max="16384" width="9.28515625" style="14"/>
  </cols>
  <sheetData>
    <row r="1" spans="1:7" s="4" customFormat="1" ht="30" customHeight="1">
      <c r="A1" s="146" t="s">
        <v>265</v>
      </c>
      <c r="B1" s="146"/>
      <c r="C1" s="146"/>
      <c r="D1" s="146"/>
      <c r="E1" s="146"/>
      <c r="F1" s="15"/>
    </row>
    <row r="2" spans="1:7" ht="25.15" customHeight="1">
      <c r="A2" s="206" t="s">
        <v>266</v>
      </c>
      <c r="B2" s="206"/>
      <c r="C2" s="206"/>
      <c r="D2" s="206"/>
      <c r="E2" s="206"/>
      <c r="F2" s="16"/>
    </row>
    <row r="3" spans="1:7" ht="25.15" customHeight="1">
      <c r="A3" s="215"/>
      <c r="B3" s="215"/>
      <c r="C3" s="215"/>
      <c r="D3" s="215"/>
      <c r="E3" s="215"/>
      <c r="F3" s="17"/>
    </row>
    <row r="4" spans="1:7" ht="408" customHeight="1">
      <c r="A4" s="215"/>
      <c r="B4" s="215"/>
      <c r="C4" s="215"/>
      <c r="D4" s="215"/>
      <c r="E4" s="215"/>
      <c r="F4" s="17"/>
    </row>
    <row r="5" spans="1:7" s="4" customFormat="1" ht="109.9" customHeight="1">
      <c r="A5" s="146" t="s">
        <v>267</v>
      </c>
      <c r="B5" s="146"/>
      <c r="C5" s="146"/>
      <c r="D5" s="146"/>
      <c r="E5" s="146"/>
      <c r="F5" s="15"/>
    </row>
    <row r="6" spans="1:7" ht="30" customHeight="1">
      <c r="A6" s="18" t="s">
        <v>268</v>
      </c>
      <c r="B6" s="207" t="s">
        <v>269</v>
      </c>
      <c r="C6" s="207"/>
      <c r="D6" s="18" t="s">
        <v>270</v>
      </c>
      <c r="E6" s="18" t="s">
        <v>271</v>
      </c>
      <c r="F6" s="19"/>
    </row>
    <row r="7" spans="1:7" ht="18" customHeight="1">
      <c r="A7" s="20" t="s">
        <v>272</v>
      </c>
      <c r="B7" s="165" t="s">
        <v>273</v>
      </c>
      <c r="C7" s="166"/>
      <c r="D7" s="21" t="s">
        <v>274</v>
      </c>
      <c r="E7" s="22" t="s">
        <v>174</v>
      </c>
    </row>
    <row r="8" spans="1:7" ht="18" customHeight="1">
      <c r="A8" s="20" t="s">
        <v>275</v>
      </c>
      <c r="B8" s="165" t="s">
        <v>273</v>
      </c>
      <c r="C8" s="166"/>
      <c r="D8" s="21" t="s">
        <v>276</v>
      </c>
      <c r="E8" s="22" t="s">
        <v>174</v>
      </c>
    </row>
    <row r="9" spans="1:7" ht="92.65" customHeight="1">
      <c r="A9" s="20" t="s">
        <v>277</v>
      </c>
      <c r="B9" s="165" t="s">
        <v>273</v>
      </c>
      <c r="C9" s="166"/>
      <c r="D9" s="21" t="s">
        <v>278</v>
      </c>
      <c r="E9" s="22" t="s">
        <v>174</v>
      </c>
    </row>
    <row r="10" spans="1:7" ht="18" customHeight="1">
      <c r="A10" s="20" t="s">
        <v>279</v>
      </c>
      <c r="B10" s="212" t="s">
        <v>280</v>
      </c>
      <c r="C10" s="212"/>
      <c r="D10" s="21" t="s">
        <v>281</v>
      </c>
      <c r="E10" s="22" t="s">
        <v>174</v>
      </c>
    </row>
    <row r="11" spans="1:7" ht="18" customHeight="1">
      <c r="A11" s="20" t="s">
        <v>282</v>
      </c>
      <c r="B11" s="165" t="s">
        <v>283</v>
      </c>
      <c r="C11" s="166"/>
      <c r="D11" s="21" t="s">
        <v>284</v>
      </c>
      <c r="E11" s="22" t="s">
        <v>174</v>
      </c>
    </row>
    <row r="12" spans="1:7" s="4" customFormat="1" ht="30" customHeight="1">
      <c r="A12" s="8" t="s">
        <v>285</v>
      </c>
      <c r="G12" s="23"/>
    </row>
    <row r="13" spans="1:7">
      <c r="A13" s="213" t="s">
        <v>286</v>
      </c>
      <c r="B13" s="213"/>
      <c r="C13" s="213" t="s">
        <v>287</v>
      </c>
      <c r="D13" s="213"/>
      <c r="E13" s="213"/>
      <c r="F13" s="24"/>
    </row>
    <row r="14" spans="1:7" ht="30" customHeight="1">
      <c r="A14" s="212" t="s">
        <v>288</v>
      </c>
      <c r="B14" s="212"/>
      <c r="C14" s="212"/>
      <c r="D14" s="212"/>
      <c r="E14" s="212"/>
      <c r="F14" s="25"/>
    </row>
    <row r="15" spans="1:7" ht="30" customHeight="1">
      <c r="A15" s="212"/>
      <c r="B15" s="212"/>
      <c r="C15" s="212"/>
      <c r="D15" s="212"/>
      <c r="E15" s="212"/>
      <c r="F15" s="25"/>
    </row>
    <row r="16" spans="1:7" ht="30" customHeight="1">
      <c r="A16" s="212"/>
      <c r="B16" s="212"/>
      <c r="C16" s="212"/>
      <c r="D16" s="212"/>
      <c r="E16" s="212"/>
      <c r="F16" s="25"/>
    </row>
    <row r="17" spans="1:6" s="4" customFormat="1" ht="30" customHeight="1">
      <c r="A17" s="8" t="s">
        <v>289</v>
      </c>
    </row>
    <row r="18" spans="1:6" ht="30">
      <c r="A18" s="26" t="s">
        <v>290</v>
      </c>
      <c r="B18" s="222" t="s">
        <v>291</v>
      </c>
      <c r="C18" s="222"/>
      <c r="D18" s="222" t="s">
        <v>292</v>
      </c>
      <c r="E18" s="222"/>
      <c r="F18" s="27"/>
    </row>
    <row r="19" spans="1:6" ht="121.5" customHeight="1">
      <c r="A19" s="22"/>
      <c r="B19" s="208"/>
      <c r="C19" s="209"/>
      <c r="D19" s="208" t="s">
        <v>19</v>
      </c>
      <c r="E19" s="209"/>
      <c r="F19" s="25"/>
    </row>
    <row r="20" spans="1:6" s="4" customFormat="1" ht="30" customHeight="1">
      <c r="A20" s="210" t="s">
        <v>293</v>
      </c>
      <c r="B20" s="210"/>
      <c r="C20" s="210"/>
      <c r="D20" s="211"/>
      <c r="E20" s="211"/>
      <c r="F20" s="28"/>
    </row>
    <row r="21" spans="1:6" ht="50.1" customHeight="1">
      <c r="A21" s="219" t="s">
        <v>294</v>
      </c>
      <c r="B21" s="220"/>
      <c r="C21" s="220"/>
      <c r="D21" s="220"/>
      <c r="E21" s="221"/>
      <c r="F21" s="16"/>
    </row>
    <row r="22" spans="1:6" ht="20.100000000000001" customHeight="1">
      <c r="A22" s="9" t="s">
        <v>295</v>
      </c>
      <c r="B22" s="141" t="s">
        <v>296</v>
      </c>
      <c r="C22" s="141"/>
      <c r="D22" s="141"/>
      <c r="E22" s="141"/>
      <c r="F22" s="24"/>
    </row>
    <row r="23" spans="1:6" ht="20.100000000000001" customHeight="1">
      <c r="A23" s="9" t="s">
        <v>297</v>
      </c>
      <c r="B23" s="141"/>
      <c r="C23" s="141"/>
      <c r="D23" s="141"/>
      <c r="E23" s="141"/>
      <c r="F23" s="24"/>
    </row>
    <row r="24" spans="1:6" ht="20.100000000000001" customHeight="1">
      <c r="A24" s="9" t="s">
        <v>298</v>
      </c>
      <c r="B24" s="141" t="s">
        <v>299</v>
      </c>
      <c r="C24" s="141"/>
      <c r="D24" s="141"/>
      <c r="E24" s="141"/>
      <c r="F24" s="24"/>
    </row>
    <row r="25" spans="1:6" ht="20.100000000000001" customHeight="1">
      <c r="A25" s="9" t="s">
        <v>300</v>
      </c>
      <c r="B25" s="141" t="s">
        <v>301</v>
      </c>
      <c r="C25" s="141"/>
      <c r="D25" s="141"/>
      <c r="E25" s="141"/>
      <c r="F25" s="24"/>
    </row>
    <row r="26" spans="1:6" ht="20.100000000000001" customHeight="1">
      <c r="A26" s="9" t="s">
        <v>302</v>
      </c>
      <c r="B26" s="216">
        <v>45474</v>
      </c>
      <c r="C26" s="141"/>
      <c r="D26" s="141"/>
      <c r="E26" s="141"/>
      <c r="F26" s="24"/>
    </row>
    <row r="27" spans="1:6">
      <c r="A27" s="29"/>
      <c r="B27" s="24"/>
      <c r="C27" s="24"/>
      <c r="D27" s="24"/>
      <c r="E27" s="24"/>
      <c r="F27" s="24"/>
    </row>
    <row r="28" spans="1:6" ht="15.75">
      <c r="A28" s="217" t="s">
        <v>303</v>
      </c>
      <c r="B28" s="217"/>
      <c r="C28" s="217"/>
      <c r="D28" s="217"/>
      <c r="E28" s="217"/>
      <c r="F28" s="30"/>
    </row>
    <row r="29" spans="1:6">
      <c r="A29" s="31" t="s">
        <v>297</v>
      </c>
      <c r="B29" s="218" t="s">
        <v>304</v>
      </c>
      <c r="C29" s="218"/>
      <c r="D29" s="218"/>
      <c r="E29" s="218"/>
      <c r="F29" s="24"/>
    </row>
    <row r="30" spans="1:6">
      <c r="A30" s="31" t="s">
        <v>298</v>
      </c>
      <c r="B30" s="218" t="s">
        <v>304</v>
      </c>
      <c r="C30" s="218"/>
      <c r="D30" s="218"/>
      <c r="E30" s="218"/>
      <c r="F30" s="24"/>
    </row>
    <row r="31" spans="1:6">
      <c r="A31" s="31" t="s">
        <v>300</v>
      </c>
      <c r="B31" s="218" t="s">
        <v>305</v>
      </c>
      <c r="C31" s="218"/>
      <c r="D31" s="218"/>
      <c r="E31" s="218"/>
      <c r="F31" s="24"/>
    </row>
    <row r="32" spans="1:6">
      <c r="A32" s="31" t="s">
        <v>302</v>
      </c>
      <c r="B32" s="214">
        <v>45474</v>
      </c>
      <c r="C32" s="214"/>
      <c r="D32" s="214"/>
      <c r="E32" s="214"/>
      <c r="F32" s="24"/>
    </row>
  </sheetData>
  <mergeCells count="31">
    <mergeCell ref="B32:E32"/>
    <mergeCell ref="A3:E4"/>
    <mergeCell ref="A14:B16"/>
    <mergeCell ref="C14:E16"/>
    <mergeCell ref="B26:E26"/>
    <mergeCell ref="A28:E28"/>
    <mergeCell ref="B29:E29"/>
    <mergeCell ref="B30:E30"/>
    <mergeCell ref="B31:E31"/>
    <mergeCell ref="A21:E21"/>
    <mergeCell ref="B22:E22"/>
    <mergeCell ref="B23:E23"/>
    <mergeCell ref="B24:E24"/>
    <mergeCell ref="B25:E25"/>
    <mergeCell ref="B18:C18"/>
    <mergeCell ref="D18:E18"/>
    <mergeCell ref="B19:C19"/>
    <mergeCell ref="D19:E19"/>
    <mergeCell ref="A20:C20"/>
    <mergeCell ref="D20:E20"/>
    <mergeCell ref="B8:C8"/>
    <mergeCell ref="B9:C9"/>
    <mergeCell ref="B10:C10"/>
    <mergeCell ref="B11:C11"/>
    <mergeCell ref="A13:B13"/>
    <mergeCell ref="C13:E13"/>
    <mergeCell ref="A1:E1"/>
    <mergeCell ref="A2:E2"/>
    <mergeCell ref="A5:E5"/>
    <mergeCell ref="B6:C6"/>
    <mergeCell ref="B7:C7"/>
  </mergeCells>
  <pageMargins left="0.39370078740157499" right="0.39370078740157499" top="1.0629921259842501" bottom="0.70866141732283505" header="0.31496062992126" footer="0.31496062992126"/>
  <pageSetup paperSize="9" scale="64" orientation="portrait"/>
  <headerFooter>
    <oddHeader>&amp;C&amp;G</oddHeader>
    <oddFooter>&amp;L&amp;"-,Bold"&amp;10&amp;K000000Doc Name: Food Specification   Doc Number: BASIC-18   Version: V04   Issue Date: 11/02/2021Issued By: Ling Hsuan Chiu   Authorised By: Emma Du&amp;R&amp;"-,Bold"&amp;10Confidential&amp;"-,Regular" &amp;D - Page &amp;P of &amp;N</oddFooter>
  </headerFooter>
  <drawing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topLeftCell="A2" workbookViewId="0">
      <selection activeCell="B2" sqref="B2"/>
    </sheetView>
  </sheetViews>
  <sheetFormatPr defaultColWidth="9" defaultRowHeight="15"/>
  <cols>
    <col min="1" max="1" width="15.28515625" customWidth="1"/>
    <col min="2" max="2" width="60.28515625" customWidth="1"/>
  </cols>
  <sheetData>
    <row r="1" spans="1:2" ht="18.75">
      <c r="A1" s="7" t="s">
        <v>306</v>
      </c>
      <c r="B1" s="8"/>
    </row>
    <row r="2" spans="1:2" ht="30">
      <c r="A2" s="9" t="s">
        <v>307</v>
      </c>
      <c r="B2" s="10" t="s">
        <v>308</v>
      </c>
    </row>
    <row r="3" spans="1:2">
      <c r="A3" s="223" t="s">
        <v>309</v>
      </c>
      <c r="B3" s="223"/>
    </row>
    <row r="4" spans="1:2" ht="51" customHeight="1">
      <c r="A4" s="11">
        <v>1</v>
      </c>
      <c r="B4" s="12" t="s">
        <v>310</v>
      </c>
    </row>
    <row r="5" spans="1:2" ht="60.75" customHeight="1">
      <c r="A5" s="11">
        <v>2</v>
      </c>
      <c r="B5" s="12" t="s">
        <v>311</v>
      </c>
    </row>
    <row r="6" spans="1:2" ht="60.75" customHeight="1">
      <c r="A6" s="11">
        <v>3</v>
      </c>
      <c r="B6" s="12" t="s">
        <v>327</v>
      </c>
    </row>
    <row r="7" spans="1:2" ht="60.75" customHeight="1">
      <c r="A7" s="11">
        <v>4</v>
      </c>
      <c r="B7" s="12" t="s">
        <v>312</v>
      </c>
    </row>
    <row r="8" spans="1:2" ht="60.75" customHeight="1">
      <c r="A8" s="11">
        <v>5</v>
      </c>
      <c r="B8" s="12" t="s">
        <v>313</v>
      </c>
    </row>
    <row r="9" spans="1:2" ht="73.5" customHeight="1">
      <c r="A9" s="9" t="s">
        <v>314</v>
      </c>
      <c r="B9" s="13" t="s">
        <v>315</v>
      </c>
    </row>
    <row r="10" spans="1:2" ht="30">
      <c r="A10" s="9" t="s">
        <v>316</v>
      </c>
      <c r="B10" s="10"/>
    </row>
  </sheetData>
  <mergeCells count="1">
    <mergeCell ref="A3:B3"/>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9"/>
  <sheetViews>
    <sheetView workbookViewId="0">
      <selection activeCell="A20" sqref="A20"/>
    </sheetView>
  </sheetViews>
  <sheetFormatPr defaultColWidth="9" defaultRowHeight="15"/>
  <cols>
    <col min="1" max="1" width="144.28515625" customWidth="1"/>
  </cols>
  <sheetData>
    <row r="1" spans="1:2">
      <c r="A1" s="1"/>
    </row>
    <row r="2" spans="1:2">
      <c r="A2" s="2" t="s">
        <v>317</v>
      </c>
    </row>
    <row r="3" spans="1:2">
      <c r="A3" s="3" t="s">
        <v>318</v>
      </c>
    </row>
    <row r="4" spans="1:2">
      <c r="A4" s="3" t="s">
        <v>319</v>
      </c>
    </row>
    <row r="5" spans="1:2">
      <c r="A5" s="3" t="s">
        <v>320</v>
      </c>
    </row>
    <row r="6" spans="1:2" ht="25.5">
      <c r="A6" s="3" t="s">
        <v>321</v>
      </c>
    </row>
    <row r="7" spans="1:2">
      <c r="A7" s="3" t="s">
        <v>322</v>
      </c>
    </row>
    <row r="8" spans="1:2" ht="25.5">
      <c r="A8" s="3" t="s">
        <v>323</v>
      </c>
    </row>
    <row r="9" spans="1:2">
      <c r="A9" s="3" t="s">
        <v>324</v>
      </c>
    </row>
    <row r="10" spans="1:2" ht="25.5">
      <c r="A10" s="3" t="s">
        <v>325</v>
      </c>
    </row>
    <row r="11" spans="1:2" ht="25.5">
      <c r="A11" s="3" t="s">
        <v>326</v>
      </c>
      <c r="B11" s="4"/>
    </row>
    <row r="12" spans="1:2">
      <c r="A12" s="5"/>
    </row>
    <row r="13" spans="1:2">
      <c r="A13" s="6"/>
    </row>
    <row r="14" spans="1:2">
      <c r="A14" s="5"/>
    </row>
    <row r="15" spans="1:2">
      <c r="A15" s="6"/>
    </row>
    <row r="16" spans="1:2">
      <c r="A16" s="6"/>
    </row>
    <row r="17" spans="1:1">
      <c r="A17" s="5"/>
    </row>
    <row r="18" spans="1:1">
      <c r="A18" s="6"/>
    </row>
    <row r="19" spans="1:1">
      <c r="A19" s="6"/>
    </row>
    <row r="20" spans="1:1">
      <c r="A20" s="5"/>
    </row>
    <row r="21" spans="1:1">
      <c r="A21" s="6"/>
    </row>
    <row r="22" spans="1:1">
      <c r="A22" s="5"/>
    </row>
    <row r="23" spans="1:1">
      <c r="A23" s="6"/>
    </row>
    <row r="24" spans="1:1">
      <c r="A24" s="6"/>
    </row>
    <row r="25" spans="1:1">
      <c r="A25" s="6"/>
    </row>
    <row r="26" spans="1:1">
      <c r="A26" s="5"/>
    </row>
    <row r="27" spans="1:1">
      <c r="A27" s="6"/>
    </row>
    <row r="28" spans="1:1">
      <c r="A28" s="5"/>
    </row>
    <row r="29" spans="1:1">
      <c r="A29"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2.xml><?xml version="1.0" encoding="utf-8"?>
<ds:datastoreItem xmlns:ds="http://schemas.openxmlformats.org/officeDocument/2006/customXml" ds:itemID="{E111FA42-621E-434F-A82D-113380E5594C}"/>
</file>

<file path=customXml/itemProps3.xml><?xml version="1.0" encoding="utf-8"?>
<ds:datastoreItem xmlns:ds="http://schemas.openxmlformats.org/officeDocument/2006/customXml" ds:itemID="{45054EDF-03E2-459D-A531-9A9DADBF4F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1-5.Manufacturer &amp; product info</vt:lpstr>
      <vt:lpstr>6-8.Ingre&amp;Nutrition&amp;Allergens</vt:lpstr>
      <vt:lpstr>9-13.Quality Attributes </vt:lpstr>
      <vt:lpstr>14-16.Quantity&amp;packaging info</vt:lpstr>
      <vt:lpstr>17-20.HACCP,Artwork&amp;SpecAuthor.</vt:lpstr>
      <vt:lpstr>21. Ecommerce</vt:lpstr>
      <vt:lpstr>Warranty statement</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James Clark</cp:lastModifiedBy>
  <cp:revision/>
  <dcterms:created xsi:type="dcterms:W3CDTF">2020-04-03T10:32:00Z</dcterms:created>
  <dcterms:modified xsi:type="dcterms:W3CDTF">2026-03-26T14:26:24Z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y fmtid="{D5CDD505-2E9C-101B-9397-08002B2CF9AE}" pid="4" name="ICV">
    <vt:lpwstr>38886012ACAB4CAF812F2095120794D3</vt:lpwstr>
  </property>
  <property fmtid="{D5CDD505-2E9C-101B-9397-08002B2CF9AE}" pid="5" name="KSOProductBuildVer">
    <vt:lpwstr>2052-11.1.0.12165</vt:lpwstr>
  </property>
</Properties>
</file>