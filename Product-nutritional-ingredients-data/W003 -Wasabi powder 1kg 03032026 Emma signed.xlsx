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ustomStorage/customStorage.xml" ContentType="application/vnd.wps-officedocument.customStorag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codeName="ThisWorkbook"/>
  <mc:AlternateContent xmlns:mc="http://schemas.openxmlformats.org/markup-compatibility/2006">
    <mc:Choice Requires="x15">
      <x15ac:absPath xmlns:x15ac="http://schemas.microsoft.com/office/spreadsheetml/2010/11/ac" url="https://thebasic.sharepoint.com/sites/Technical2/Shared Documents/3. Product Safety &amp; Quality Management/3.6 Specifications/"/>
    </mc:Choice>
  </mc:AlternateContent>
  <xr:revisionPtr revIDLastSave="102" documentId="8_{FC931725-A989-4335-AEE8-6ABF517809FF}" xr6:coauthVersionLast="47" xr6:coauthVersionMax="47" xr10:uidLastSave="{8063EC33-850E-40EA-9521-40C4BFE65E9A}"/>
  <bookViews>
    <workbookView xWindow="-30945" yWindow="-1020" windowWidth="15465" windowHeight="8985" tabRatio="977" xr2:uid="{00000000-000D-0000-FFFF-FFFF00000000}"/>
  </bookViews>
  <sheets>
    <sheet name="1-5.Manufacturer &amp; product info" sheetId="1" r:id="rId1"/>
    <sheet name="6-8.Ingre&amp;Nutrition&amp;Allergens" sheetId="2" r:id="rId2"/>
    <sheet name="9-13.Quality Attributes " sheetId="11" r:id="rId3"/>
    <sheet name="14-16.Quantity&amp;packaging info" sheetId="8" r:id="rId4"/>
    <sheet name="17-20.HACCP,Artwork&amp;SpecAuthor." sheetId="5" r:id="rId5"/>
    <sheet name="22 USPs" sheetId="13" r:id="rId6"/>
  </sheets>
  <definedNames>
    <definedName name="_xlnm.Print_Area" localSheetId="3">'14-16.Quantity&amp;packaging info'!$A$1:$E$28</definedName>
    <definedName name="_xlnm.Print_Area" localSheetId="0">'1-5.Manufacturer &amp; product info'!$A$1:$E$36</definedName>
    <definedName name="_xlnm.Print_Area" localSheetId="4">'17-20.HACCP,Artwork&amp;SpecAuthor.'!$A$1:$E$28</definedName>
    <definedName name="_xlnm.Print_Area" localSheetId="1">'6-8.Ingre&amp;Nutrition&amp;Allergens'!$A$1:$I$46</definedName>
    <definedName name="_xlnm.Print_Area" localSheetId="2">'9-13.Quality Attributes '!$A$1:$F$36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6" i="8" l="1"/>
  <c r="B26" i="8"/>
  <c r="B27" i="8" s="1"/>
  <c r="D25" i="8"/>
  <c r="B25" i="8"/>
  <c r="E9" i="2"/>
</calcChain>
</file>

<file path=xl/sharedStrings.xml><?xml version="1.0" encoding="utf-8"?>
<sst xmlns="http://schemas.openxmlformats.org/spreadsheetml/2006/main" count="467" uniqueCount="302">
  <si>
    <t>1.Product Gernal Description:</t>
  </si>
  <si>
    <r>
      <rPr>
        <sz val="12"/>
        <color theme="1"/>
        <rFont val="Calibri Light"/>
        <family val="2"/>
        <scheme val="major"/>
      </rPr>
      <t>Product Name:</t>
    </r>
    <r>
      <rPr>
        <sz val="10"/>
        <color theme="1"/>
        <rFont val="Calibri Light"/>
        <family val="2"/>
        <scheme val="major"/>
      </rPr>
      <t xml:space="preserve">
</t>
    </r>
    <r>
      <rPr>
        <b/>
        <sz val="8"/>
        <color theme="1"/>
        <rFont val="Calibri Light"/>
        <family val="2"/>
        <scheme val="major"/>
      </rPr>
      <t>*Legal name / Customary name / descriptive name</t>
    </r>
  </si>
  <si>
    <t>Wasabi Powder</t>
  </si>
  <si>
    <t>Pruchase UoM:</t>
  </si>
  <si>
    <t>10/1kg</t>
  </si>
  <si>
    <t>TBI Product Code:</t>
  </si>
  <si>
    <t>W003</t>
  </si>
  <si>
    <t>HS/Commodity Code</t>
  </si>
  <si>
    <t>Name of Manufacturer:</t>
  </si>
  <si>
    <t>Dalian Tianpeng Food Co., LTD</t>
  </si>
  <si>
    <t>Address of Manufacturer:</t>
  </si>
  <si>
    <t>3 No. 2 Fuzhoucheng Industrial Zone Wafangdian Dalian China</t>
  </si>
  <si>
    <r>
      <rPr>
        <sz val="12"/>
        <color theme="1"/>
        <rFont val="Calibri Light"/>
        <family val="2"/>
        <scheme val="major"/>
      </rPr>
      <t xml:space="preserve">EU Approval Number (if apply):
</t>
    </r>
    <r>
      <rPr>
        <sz val="9"/>
        <color theme="1"/>
        <rFont val="Calibri Light"/>
        <family val="2"/>
        <scheme val="major"/>
      </rPr>
      <t xml:space="preserve">*for prodcut contains </t>
    </r>
    <r>
      <rPr>
        <b/>
        <sz val="9"/>
        <color theme="1"/>
        <rFont val="Calibri Light"/>
        <family val="2"/>
        <scheme val="major"/>
      </rPr>
      <t>animal origin</t>
    </r>
    <r>
      <rPr>
        <sz val="9"/>
        <color theme="1"/>
        <rFont val="Calibri Light"/>
        <family val="2"/>
        <scheme val="major"/>
      </rPr>
      <t xml:space="preserve"> only</t>
    </r>
  </si>
  <si>
    <t>N/A</t>
  </si>
  <si>
    <t>2.Product Certified For</t>
  </si>
  <si>
    <t xml:space="preserve">* If certified please tick yes and attach the certificates &amp; reports </t>
  </si>
  <si>
    <t>Yes</t>
  </si>
  <si>
    <t>ASC</t>
  </si>
  <si>
    <t>Global G.A.P.</t>
  </si>
  <si>
    <t>Halal</t>
  </si>
  <si>
    <t>Kosher</t>
  </si>
  <si>
    <t>Organic</t>
  </si>
  <si>
    <t>Other:</t>
  </si>
  <si>
    <t>HACCP, IFS, MUI, FDA</t>
  </si>
  <si>
    <t>3.Dietary Requirements</t>
  </si>
  <si>
    <t>*Please tick in the box</t>
  </si>
  <si>
    <t>Vegetarians</t>
  </si>
  <si>
    <t>(Contains no animal product but may animal by-product e.g Milk &amp; egg)</t>
  </si>
  <si>
    <t xml:space="preserve">Vegans </t>
  </si>
  <si>
    <t>(Contains no animal product)</t>
  </si>
  <si>
    <t>Gluten Free</t>
  </si>
  <si>
    <t>4.Shelf Life &amp; Storage Condition</t>
  </si>
  <si>
    <t>Storage Condition / Temperature Range (°C)</t>
  </si>
  <si>
    <t>Keep away from sunlight and store in a cool and dry place</t>
  </si>
  <si>
    <t>Shelf Life</t>
  </si>
  <si>
    <t>24 months</t>
  </si>
  <si>
    <t>Ambient products</t>
  </si>
  <si>
    <t>Frozen Products</t>
  </si>
  <si>
    <t>Once Opened</t>
  </si>
  <si>
    <t>use up as soon as possible</t>
  </si>
  <si>
    <t>Once Defrosted</t>
  </si>
  <si>
    <t>Once Defrosted suitable for Refreezing?</t>
  </si>
  <si>
    <t xml:space="preserve"> No</t>
  </si>
  <si>
    <t>Date Code Format E.g. DD/MM/YY</t>
  </si>
  <si>
    <t>DD.MM.YYYY</t>
  </si>
  <si>
    <t>Batch Code Format / Traceability Code</t>
  </si>
  <si>
    <t>TP-LG-2001-XX</t>
  </si>
  <si>
    <t>5.Instructions for Use</t>
  </si>
  <si>
    <t xml:space="preserve">1.Add cold water to wasbi powder T 1:1 ratio. Adjust the amount of water to make your preferred thickness.
2.After mixing thoroughly store in an airtight container to retain the fresh flavor and spiciness.
</t>
  </si>
  <si>
    <t>6.Product Composition</t>
  </si>
  <si>
    <t>Ingredients</t>
  </si>
  <si>
    <t>Components</t>
  </si>
  <si>
    <t>% 
Composition</t>
  </si>
  <si>
    <t>Supplier Names</t>
  </si>
  <si>
    <t>Country of Origin</t>
  </si>
  <si>
    <t>Genetically modified?</t>
  </si>
  <si>
    <r>
      <rPr>
        <sz val="8"/>
        <color theme="1"/>
        <rFont val="Calibri Light"/>
        <family val="2"/>
        <scheme val="major"/>
      </rPr>
      <t xml:space="preserve">(Including </t>
    </r>
    <r>
      <rPr>
        <b/>
        <sz val="8"/>
        <color theme="1"/>
        <rFont val="Calibri Light"/>
        <family val="2"/>
        <scheme val="major"/>
      </rPr>
      <t>E numbers</t>
    </r>
    <r>
      <rPr>
        <sz val="8"/>
        <color theme="1"/>
        <rFont val="Calibri Light"/>
        <family val="2"/>
        <scheme val="major"/>
      </rPr>
      <t xml:space="preserve"> and </t>
    </r>
    <r>
      <rPr>
        <sz val="8"/>
        <color rgb="FFFF0000"/>
        <rFont val="Calibri Light"/>
        <family val="2"/>
        <scheme val="major"/>
      </rPr>
      <t>*</t>
    </r>
    <r>
      <rPr>
        <b/>
        <sz val="8"/>
        <color rgb="FFFF0000"/>
        <rFont val="Calibri Light"/>
        <family val="2"/>
        <scheme val="major"/>
      </rPr>
      <t>functions</t>
    </r>
    <r>
      <rPr>
        <sz val="8"/>
        <color theme="1"/>
        <rFont val="Calibri Light"/>
        <family val="2"/>
        <scheme val="major"/>
      </rPr>
      <t xml:space="preserve"> for additives)</t>
    </r>
  </si>
  <si>
    <t>(if ingredient is composed of several sub-ingredients)</t>
  </si>
  <si>
    <r>
      <rPr>
        <sz val="8"/>
        <color theme="1"/>
        <rFont val="Calibri Light"/>
        <family val="2"/>
        <scheme val="major"/>
      </rPr>
      <t xml:space="preserve">(Please list the ingredients </t>
    </r>
    <r>
      <rPr>
        <b/>
        <sz val="8"/>
        <color theme="1"/>
        <rFont val="Calibri Light"/>
        <family val="2"/>
        <scheme val="major"/>
      </rPr>
      <t>in descending order</t>
    </r>
    <r>
      <rPr>
        <sz val="8"/>
        <color theme="1"/>
        <rFont val="Calibri Light"/>
        <family val="2"/>
        <scheme val="major"/>
      </rPr>
      <t>)</t>
    </r>
  </si>
  <si>
    <t>(Please list all suppliers per ingredient)</t>
  </si>
  <si>
    <t xml:space="preserve">Horseradish powder </t>
  </si>
  <si>
    <t>China</t>
  </si>
  <si>
    <t>No</t>
  </si>
  <si>
    <t>Wasabi Japonica  powder</t>
  </si>
  <si>
    <t xml:space="preserve">Baoshan City Wasabi Industry Development Co., LTD </t>
  </si>
  <si>
    <t>Mustard powder</t>
  </si>
  <si>
    <t>A-NEX CO., LTD</t>
  </si>
  <si>
    <t>America</t>
  </si>
  <si>
    <t>Spirulina powder</t>
  </si>
  <si>
    <t>Inner Mongolia Rejuve Biotech Co., LTD</t>
  </si>
  <si>
    <t>Turmeric powder</t>
  </si>
  <si>
    <t>Dezhou Lantian Food Co.,LTD</t>
  </si>
  <si>
    <t>Total</t>
  </si>
  <si>
    <t>Are Genetically Modified Organisms handled on manufacturing site?</t>
  </si>
  <si>
    <t>Is GMO free certificate available for the ingredients at GMO risk?</t>
  </si>
  <si>
    <t>We test finished products</t>
  </si>
  <si>
    <t>*Please choose the functional of food additives from below:
sweeteners  /  colours  /  preservatives  /  antioxidants  /  carriers  /  acids  /  acidity regulators  /  anti-caking agents / anti-foaming agents /  bulking agents  /  bulking agents  /  emulsifiers  /  emulsifying salts  /  firming agents  /  flavor enhancers  /  foaming agents  /  gelling agents  /  glazing agents  /  humectants   /  modified starches  /  packaging gases  /  propellants  /  raising agents  /  sequestrants  /  stabilisers  /  thickeners  /  flour treatment agents  /  contrast enhancers    * Not Mandatory</t>
  </si>
  <si>
    <t>7.Nutritional Information</t>
  </si>
  <si>
    <t>* Not Mandatory</t>
  </si>
  <si>
    <t>Typical Values</t>
  </si>
  <si>
    <t>Per 100g/100ml</t>
  </si>
  <si>
    <t xml:space="preserve">Energy (Kcal/KJ) </t>
  </si>
  <si>
    <t>Kcal:338.4 
KJ:1416</t>
  </si>
  <si>
    <t>Fat</t>
  </si>
  <si>
    <t>6.0 g</t>
  </si>
  <si>
    <t xml:space="preserve">   of which saturate fat</t>
  </si>
  <si>
    <t>0.56 g</t>
  </si>
  <si>
    <t xml:space="preserve">   of which monounsaturated fat*</t>
  </si>
  <si>
    <t>0 g</t>
  </si>
  <si>
    <t xml:space="preserve">   of which, polyunsaturated fat*</t>
  </si>
  <si>
    <t>Carbohydrate</t>
  </si>
  <si>
    <t>58.2 g</t>
  </si>
  <si>
    <t xml:space="preserve">   of which sugar</t>
  </si>
  <si>
    <t>24.2 g</t>
  </si>
  <si>
    <t xml:space="preserve"> </t>
  </si>
  <si>
    <t xml:space="preserve">   of which Polyols*</t>
  </si>
  <si>
    <t xml:space="preserve">   of which starch*</t>
  </si>
  <si>
    <t>Fibre*</t>
  </si>
  <si>
    <t>Protein</t>
  </si>
  <si>
    <t>12.9 g</t>
  </si>
  <si>
    <t>Salt</t>
  </si>
  <si>
    <t>0.0565 g</t>
  </si>
  <si>
    <t>Sodium in mg x 2.5 /1000 = salt in g</t>
  </si>
  <si>
    <t>NOTE: Must attach lab analyses report</t>
  </si>
  <si>
    <t>8.The fourteen Allergens – Regulation (EU) No 1169/2011</t>
  </si>
  <si>
    <t>Potential Component</t>
  </si>
  <si>
    <t xml:space="preserve">Product contains? </t>
  </si>
  <si>
    <t xml:space="preserve">In which ingredient? </t>
  </si>
  <si>
    <t>Handled on manufacturing site?</t>
  </si>
  <si>
    <t>In which material?</t>
  </si>
  <si>
    <t>Measures to prevent Cross-contamination</t>
  </si>
  <si>
    <t xml:space="preserve">Precautionary allergen labelling (May Contain statement) needed? </t>
  </si>
  <si>
    <t>Yes/No</t>
  </si>
  <si>
    <t>01</t>
  </si>
  <si>
    <r>
      <rPr>
        <sz val="12"/>
        <color rgb="FF000000"/>
        <rFont val="Calibri Light"/>
        <family val="2"/>
      </rPr>
      <t xml:space="preserve">Cereals containing gluten
</t>
    </r>
    <r>
      <rPr>
        <sz val="10"/>
        <color rgb="FF000000"/>
        <rFont val="Calibri Light"/>
        <family val="2"/>
      </rPr>
      <t>including wheat, Rye, Barley, Oats, Spelt &amp; Khorasan and products thereof:</t>
    </r>
  </si>
  <si>
    <t>soy sauce</t>
  </si>
  <si>
    <t>Handled in dedicated production line, and no other products.</t>
  </si>
  <si>
    <t>02</t>
  </si>
  <si>
    <t>Crustaceans and products thereof:</t>
  </si>
  <si>
    <t>03</t>
  </si>
  <si>
    <t>Fish and products thereof:</t>
  </si>
  <si>
    <t>04</t>
  </si>
  <si>
    <t>Molluscs and products thereof:</t>
  </si>
  <si>
    <t>05</t>
  </si>
  <si>
    <t>Peanuts and products thereof:</t>
  </si>
  <si>
    <t>06</t>
  </si>
  <si>
    <t>Soybeans and products thereof:</t>
  </si>
  <si>
    <t>07</t>
  </si>
  <si>
    <t>Milk and products thereof:</t>
  </si>
  <si>
    <t>curry</t>
  </si>
  <si>
    <t>08</t>
  </si>
  <si>
    <t>Nuts and products thereof:</t>
  </si>
  <si>
    <t>09</t>
  </si>
  <si>
    <t>Celery and products thereof:</t>
  </si>
  <si>
    <t>Curry powder</t>
  </si>
  <si>
    <t>10</t>
  </si>
  <si>
    <t>Mustard and products thereof:</t>
  </si>
  <si>
    <t>N/A (Contains)</t>
  </si>
  <si>
    <t>11</t>
  </si>
  <si>
    <t>Sesame seeds and products thereof:</t>
  </si>
  <si>
    <t>12</t>
  </si>
  <si>
    <t>Sulphur Dioxide or Sulphites:</t>
  </si>
  <si>
    <t>13</t>
  </si>
  <si>
    <t>Lupin and products thereof:</t>
  </si>
  <si>
    <t>14</t>
  </si>
  <si>
    <t>Egg and products thereof:</t>
  </si>
  <si>
    <t>9.Pesticide residues &amp; Heavy Metal Standard</t>
  </si>
  <si>
    <t>Test Item</t>
  </si>
  <si>
    <t>EU MRL standard</t>
  </si>
  <si>
    <t>Country of Origin MRL Standard</t>
  </si>
  <si>
    <t>Test Frequency</t>
  </si>
  <si>
    <t>Lead (Pb)</t>
  </si>
  <si>
    <t>≤3.0mg/kg</t>
  </si>
  <si>
    <t>once a year</t>
  </si>
  <si>
    <t>Arsenic</t>
  </si>
  <si>
    <t>≤0.5mg/kg</t>
  </si>
  <si>
    <t>Moisture</t>
  </si>
  <si>
    <t>≤8.0%</t>
  </si>
  <si>
    <t>every batch</t>
  </si>
  <si>
    <t>10.Acrylamide</t>
  </si>
  <si>
    <t xml:space="preserve">Are Products at risk of acrylamide? </t>
  </si>
  <si>
    <t>If Yes. What mitigation measures are in place to manage acrylamide levels with the food?</t>
  </si>
  <si>
    <t>11.Radioactivity</t>
  </si>
  <si>
    <t>*occurs naturally in all food and can be transferred into food in different ways eg crops from soil, drinking water from the earth, Fish and Shellfish from the water or Sea floor.</t>
  </si>
  <si>
    <t xml:space="preserve">Has the product/ingredient been irradiated? </t>
  </si>
  <si>
    <t>Is the product/ingredient subject to potential radioactive cross contamination?</t>
  </si>
  <si>
    <t xml:space="preserve">              If yes, what controls in place</t>
  </si>
  <si>
    <t xml:space="preserve">Has the product/ingredient been imported into the UK from a country that has high levels of radioactivity? </t>
  </si>
  <si>
    <t xml:space="preserve">              If Yes, how is this controlled and what checks are carried out?</t>
  </si>
  <si>
    <t>12.Microbiology Standards</t>
  </si>
  <si>
    <t>*Please insert GB standard</t>
  </si>
  <si>
    <t>Micro-organisms</t>
  </si>
  <si>
    <t>Type</t>
  </si>
  <si>
    <t>EU satisfactory in ready to eat</t>
  </si>
  <si>
    <t>Contry of Origin Standard</t>
  </si>
  <si>
    <t>Manufacturer Standard</t>
  </si>
  <si>
    <t>TVC</t>
  </si>
  <si>
    <t>Quality Indicator</t>
  </si>
  <si>
    <r>
      <rPr>
        <sz val="11"/>
        <color theme="1"/>
        <rFont val="Arial"/>
        <family val="2"/>
      </rPr>
      <t>&lt;10</t>
    </r>
    <r>
      <rPr>
        <vertAlign val="superscript"/>
        <sz val="11"/>
        <color theme="1"/>
        <rFont val="Arial"/>
        <family val="2"/>
      </rPr>
      <t>4</t>
    </r>
  </si>
  <si>
    <t>&lt;10000</t>
  </si>
  <si>
    <t>Minimum one sample/day</t>
  </si>
  <si>
    <t>Coliforms</t>
  </si>
  <si>
    <t>─</t>
  </si>
  <si>
    <r>
      <rPr>
        <sz val="11"/>
        <color theme="1"/>
        <rFont val="宋体"/>
        <charset val="134"/>
      </rPr>
      <t>≤</t>
    </r>
    <r>
      <rPr>
        <sz val="11"/>
        <color theme="1"/>
        <rFont val="Arial"/>
        <family val="2"/>
      </rPr>
      <t>3.0MPN/g</t>
    </r>
  </si>
  <si>
    <t>Escherichia coli</t>
  </si>
  <si>
    <t>Hygiene indicator</t>
  </si>
  <si>
    <t>&lt;20</t>
  </si>
  <si>
    <t>Enterobacteriaceae</t>
  </si>
  <si>
    <t>&lt;100</t>
  </si>
  <si>
    <t>Listeria spp</t>
  </si>
  <si>
    <t>Not Detected</t>
  </si>
  <si>
    <t>Listeria monocytogenes</t>
  </si>
  <si>
    <t>Pathogens</t>
  </si>
  <si>
    <t>Campylobacter spp.</t>
  </si>
  <si>
    <t>Escherichia coli O157</t>
  </si>
  <si>
    <t>Salmonella spp.</t>
  </si>
  <si>
    <t xml:space="preserve">Shigella spp. </t>
  </si>
  <si>
    <t xml:space="preserve">Vibrio cholera (O1 and O139) </t>
  </si>
  <si>
    <t>Vibrio parahaemolyticus</t>
  </si>
  <si>
    <t xml:space="preserve">Bacillus cereus </t>
  </si>
  <si>
    <r>
      <rPr>
        <sz val="11"/>
        <color theme="1"/>
        <rFont val="Arial"/>
        <family val="2"/>
      </rPr>
      <t>&lt;10</t>
    </r>
    <r>
      <rPr>
        <vertAlign val="superscript"/>
        <sz val="11"/>
        <color theme="1"/>
        <rFont val="Arial"/>
        <family val="2"/>
      </rPr>
      <t>3</t>
    </r>
  </si>
  <si>
    <t>Bacillus spp.</t>
  </si>
  <si>
    <t>Clostridium perfringens</t>
  </si>
  <si>
    <t>&lt;10</t>
  </si>
  <si>
    <t>Staphylococcus aureus and other coagulase-positive staphylococci</t>
  </si>
  <si>
    <t>13.Acceptance and Rejection standard</t>
  </si>
  <si>
    <r>
      <rPr>
        <b/>
        <sz val="12"/>
        <color theme="1"/>
        <rFont val="Calibri Light"/>
        <family val="2"/>
        <scheme val="major"/>
      </rPr>
      <t>Standard Product Photo</t>
    </r>
    <r>
      <rPr>
        <b/>
        <sz val="12"/>
        <color rgb="FF000000"/>
        <rFont val="Calibri Light"/>
        <family val="2"/>
        <scheme val="major"/>
      </rPr>
      <t xml:space="preserve"> &amp; Description </t>
    </r>
  </si>
  <si>
    <t>Rejected Product Photo&amp; Description</t>
  </si>
  <si>
    <t>IE. Grading, Sizing, Appearance, Flavor/taste, Texture, Colour, smell</t>
  </si>
  <si>
    <t>Appearance: Green color
Taste: Typical wasabi aromatic
Texture: Powder</t>
  </si>
  <si>
    <t>Appearance: Not green color
Taste: Odor
Texture: Powder with lump</t>
  </si>
  <si>
    <t xml:space="preserve">14.Quantity Attributes </t>
  </si>
  <si>
    <t xml:space="preserve">Unit </t>
  </si>
  <si>
    <t xml:space="preserve">Case </t>
  </si>
  <si>
    <r>
      <rPr>
        <sz val="11"/>
        <color theme="1"/>
        <rFont val="Calibri Light"/>
        <family val="2"/>
        <scheme val="major"/>
      </rPr>
      <t xml:space="preserve">Unit Drained Weight
</t>
    </r>
    <r>
      <rPr>
        <sz val="10"/>
        <color theme="1"/>
        <rFont val="Calibri Light"/>
        <family val="2"/>
        <scheme val="major"/>
      </rPr>
      <t xml:space="preserve">(If Product contains liquid) </t>
    </r>
  </si>
  <si>
    <t>Net  Weight</t>
  </si>
  <si>
    <t>1kg</t>
  </si>
  <si>
    <t>10kg</t>
  </si>
  <si>
    <t>Gross Weight</t>
  </si>
  <si>
    <t>1.02kg</t>
  </si>
  <si>
    <t>11kg</t>
  </si>
  <si>
    <t>Is the product packed in a Protective atmosphere?
(if yes, indicate the composition on gases used if applicable)</t>
  </si>
  <si>
    <t>Is the product vacuum packed?</t>
  </si>
  <si>
    <t>Primary Package Plastic Material Comply with Commission Regulation (EU) No 10/2011</t>
  </si>
  <si>
    <t>15.Packaging Weight Dimensions</t>
  </si>
  <si>
    <t>Description/Color</t>
  </si>
  <si>
    <r>
      <rPr>
        <sz val="11"/>
        <color theme="1"/>
        <rFont val="Calibri Light"/>
        <family val="2"/>
        <scheme val="major"/>
      </rPr>
      <t xml:space="preserve">Materials
</t>
    </r>
    <r>
      <rPr>
        <sz val="8"/>
        <color theme="1"/>
        <rFont val="Calibri Light"/>
        <family val="2"/>
        <scheme val="major"/>
      </rPr>
      <t>*please indicate the plastic material from below 01-07</t>
    </r>
  </si>
  <si>
    <t>Weight 
(g)</t>
  </si>
  <si>
    <t xml:space="preserve">Dimensions
(mm)   </t>
  </si>
  <si>
    <t>Primary：</t>
  </si>
  <si>
    <t xml:space="preserve">Alimunium foil </t>
  </si>
  <si>
    <t>Secondary:</t>
  </si>
  <si>
    <t>Corrugated paper carton</t>
  </si>
  <si>
    <t xml:space="preserve">20FCL Max Load </t>
  </si>
  <si>
    <t>1400ctns</t>
  </si>
  <si>
    <t xml:space="preserve">40FCL Max Load </t>
  </si>
  <si>
    <t>1900ctns</t>
  </si>
  <si>
    <t xml:space="preserve">16.Pallet Configuration </t>
  </si>
  <si>
    <t>EU Pallet Configuration 
(0.8m x 1.2m)</t>
  </si>
  <si>
    <t>UK Pallet Configuration 
(1.0m x 1.2m)</t>
  </si>
  <si>
    <t>Cases per layer</t>
  </si>
  <si>
    <t>Number of layers</t>
  </si>
  <si>
    <t>Number of CTNs/Pallet</t>
  </si>
  <si>
    <t xml:space="preserve">Pallet Height </t>
  </si>
  <si>
    <t>Pallet Height incl Pallet 0.145m</t>
  </si>
  <si>
    <t>Pallet Top-View</t>
  </si>
  <si>
    <t>*pallet height must lower than 1.75m</t>
  </si>
  <si>
    <t>17.Process Flow Chart- (showing all CCPs)</t>
  </si>
  <si>
    <t>Please provide in the form a Critical Control Point (CCP), a description of the process/packing operations including processing times tempuratures where applicable and in process Safery Control Checks (CCP Summary) and Quality Checks.　</t>
  </si>
  <si>
    <t>18.Critical Control Points</t>
  </si>
  <si>
    <t>CCP</t>
  </si>
  <si>
    <t>Control Measure</t>
  </si>
  <si>
    <t>Critical Limit</t>
  </si>
  <si>
    <t>Monitoring Frequency</t>
  </si>
  <si>
    <t>CCP1</t>
  </si>
  <si>
    <t>Metal detection</t>
  </si>
  <si>
    <t>Fe: Φ2.5mm; Sus: Φ3.0mm</t>
  </si>
  <si>
    <t>Every hour</t>
  </si>
  <si>
    <t>19.Artwork</t>
  </si>
  <si>
    <t>Inner Label / Package Design artwork</t>
  </si>
  <si>
    <t>Outer Label / Package Design artwork</t>
  </si>
  <si>
    <t>20.Packaging Photos</t>
  </si>
  <si>
    <t>Finished Product with Primary package</t>
  </si>
  <si>
    <t>Outer Case (Secondary)</t>
  </si>
  <si>
    <t>Tertiary</t>
  </si>
  <si>
    <t>21 Specification Authorization</t>
  </si>
  <si>
    <t>1.Product to be supplied in accordance with this agreed specification. No changes are to be made without prior knowledge and prior written agreement of The Basic Ingredients Ltd technical department.
2.The contents of this specification are confidential and should not be disclosed to a third party without a written approval of The Basic Ingredients Ltd technical department.</t>
  </si>
  <si>
    <t>Manufacture Name</t>
  </si>
  <si>
    <t>Signature</t>
  </si>
  <si>
    <t>Print Name</t>
  </si>
  <si>
    <t>Joanna Wang</t>
  </si>
  <si>
    <t>Position in Company</t>
  </si>
  <si>
    <t>Salesperson</t>
  </si>
  <si>
    <t>Date</t>
  </si>
  <si>
    <t xml:space="preserve">The Basic ingredients team use only </t>
  </si>
  <si>
    <t>Website Item Description</t>
  </si>
  <si>
    <t>Emma Basic - Wasabi Powder 1kg | 20% Real wasabi|pungent | quick to prepare</t>
  </si>
  <si>
    <t>Selling Points</t>
  </si>
  <si>
    <r>
      <rPr>
        <b/>
        <sz val="11"/>
        <color rgb="FF000000"/>
        <rFont val="Calibri"/>
        <family val="2"/>
        <scheme val="minor"/>
      </rPr>
      <t xml:space="preserve"> 20% WASABI JAPONICA</t>
    </r>
    <r>
      <rPr>
        <sz val="11"/>
        <color rgb="FF000000"/>
        <rFont val="Calibri"/>
        <family val="2"/>
        <scheme val="minor"/>
      </rPr>
      <t>: The real wasabi. Wasabi Japonica grows in naural flowing stream beds. Wasabi is a rare and precious root plant. Emma Basic Wasabi contains 20% Wasabi Japonica, much higher than most other choices in the market.</t>
    </r>
  </si>
  <si>
    <r>
      <rPr>
        <b/>
        <sz val="11"/>
        <color rgb="FF000000"/>
        <rFont val="Calibri"/>
        <family val="2"/>
        <scheme val="minor"/>
      </rPr>
      <t>100% NATURAL</t>
    </r>
    <r>
      <rPr>
        <sz val="11"/>
        <color rgb="FF000000"/>
        <rFont val="Calibri"/>
        <family val="2"/>
        <scheme val="minor"/>
      </rPr>
      <t>: No colouring or additives. Emma Basic guarantees no additives.</t>
    </r>
  </si>
  <si>
    <r>
      <rPr>
        <b/>
        <sz val="11"/>
        <color theme="1"/>
        <rFont val="Calibri"/>
        <family val="2"/>
        <scheme val="minor"/>
      </rPr>
      <t>PUNGENT</t>
    </r>
    <r>
      <rPr>
        <sz val="11"/>
        <color theme="1"/>
        <rFont val="Calibri"/>
        <family val="2"/>
        <scheme val="minor"/>
      </rPr>
      <t xml:space="preserve"> : Classic with sashimi &amp; fish, beautiful with beef.</t>
    </r>
  </si>
  <si>
    <r>
      <rPr>
        <b/>
        <sz val="11"/>
        <color rgb="FF000000"/>
        <rFont val="Calibri"/>
        <family val="2"/>
        <scheme val="minor"/>
      </rPr>
      <t>QUICK TO PREPARE</t>
    </r>
    <r>
      <rPr>
        <sz val="11"/>
        <color rgb="FF000000"/>
        <rFont val="Calibri"/>
        <family val="2"/>
        <scheme val="minor"/>
      </rPr>
      <t>: Simply mix with water to create wasabi paste. Can also add into your salad dressing.</t>
    </r>
  </si>
  <si>
    <r>
      <rPr>
        <b/>
        <sz val="11"/>
        <color theme="1"/>
        <rFont val="Calibri"/>
        <family val="2"/>
        <scheme val="minor"/>
      </rPr>
      <t>SERVE WITH SOBA</t>
    </r>
    <r>
      <rPr>
        <sz val="11"/>
        <color theme="1"/>
        <rFont val="Calibri"/>
        <family val="2"/>
        <scheme val="minor"/>
      </rPr>
      <t xml:space="preserve"> : Wasabi is commonly served with soba (Bucket Wheat Noodle) in Japan.  </t>
    </r>
  </si>
  <si>
    <t>Keywords</t>
  </si>
  <si>
    <t>Wasabi Japonica /Wasabi Powder / Japanese condiment / Hon-Wasabi / Wasabi Paste/real wasabi, wasabi pea</t>
  </si>
  <si>
    <t>BRCGS</t>
  </si>
  <si>
    <t>NO</t>
  </si>
  <si>
    <t xml:space="preserve">Sedex Member </t>
  </si>
  <si>
    <t xml:space="preserve">SMETA audit </t>
  </si>
  <si>
    <t xml:space="preserve">Yes </t>
  </si>
  <si>
    <t>杜 一静</t>
  </si>
  <si>
    <t>Emma Du</t>
  </si>
  <si>
    <t>Director</t>
  </si>
  <si>
    <t>5060740660617</t>
  </si>
  <si>
    <t>35060740660618</t>
  </si>
  <si>
    <t>0910999900</t>
  </si>
  <si>
    <t>White</t>
  </si>
  <si>
    <t xml:space="preserve">Length </t>
  </si>
  <si>
    <t xml:space="preserve">Width </t>
  </si>
  <si>
    <t>Height</t>
  </si>
  <si>
    <t>PET12/AL7/PE80</t>
  </si>
  <si>
    <t>03 March 2026 after phone call with Joanna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</si>
</sst>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6">
    <font>
      <sz val="11"/>
      <color theme="1"/>
      <name val="Calibri"/>
      <charset val="134"/>
      <scheme val="minor"/>
    </font>
    <font>
      <sz val="11"/>
      <color theme="1"/>
      <name val="Calibri"/>
      <family val="2"/>
      <scheme val="minor"/>
    </font>
    <font>
      <b/>
      <sz val="11"/>
      <color rgb="FF222222"/>
      <name val="Calibri"/>
      <family val="2"/>
      <scheme val="minor"/>
    </font>
    <font>
      <b/>
      <sz val="11"/>
      <color rgb="FF000000"/>
      <name val="Calibri"/>
      <family val="2"/>
      <scheme val="minor"/>
    </font>
    <font>
      <sz val="11"/>
      <color rgb="FF000000"/>
      <name val="Calibri"/>
      <family val="2"/>
      <scheme val="minor"/>
    </font>
    <font>
      <sz val="7"/>
      <color rgb="FF111111"/>
      <name val="Calibri"/>
      <family val="2"/>
      <scheme val="minor"/>
    </font>
    <font>
      <sz val="11"/>
      <color theme="1"/>
      <name val="Calibri Light"/>
      <family val="2"/>
      <scheme val="major"/>
    </font>
    <font>
      <b/>
      <sz val="14"/>
      <color theme="1"/>
      <name val="Calibri Light"/>
      <family val="2"/>
      <scheme val="major"/>
    </font>
    <font>
      <sz val="10"/>
      <color theme="1"/>
      <name val="Calibri Light"/>
      <family val="2"/>
      <scheme val="major"/>
    </font>
    <font>
      <i/>
      <sz val="11"/>
      <color rgb="FFFF0000"/>
      <name val="Calibri Light"/>
      <family val="2"/>
      <scheme val="major"/>
    </font>
    <font>
      <sz val="12"/>
      <color theme="1"/>
      <name val="Calibri Light"/>
      <family val="2"/>
      <scheme val="major"/>
    </font>
    <font>
      <b/>
      <sz val="11"/>
      <color theme="1"/>
      <name val="Calibri Light"/>
      <family val="2"/>
      <scheme val="major"/>
    </font>
    <font>
      <b/>
      <sz val="12"/>
      <color theme="1"/>
      <name val="Calibri Light"/>
      <family val="2"/>
      <scheme val="major"/>
    </font>
    <font>
      <sz val="11"/>
      <name val="Calibri Light"/>
      <family val="2"/>
      <scheme val="major"/>
    </font>
    <font>
      <i/>
      <sz val="10"/>
      <color rgb="FFFF0000"/>
      <name val="Calibri Light"/>
      <family val="2"/>
      <scheme val="major"/>
    </font>
    <font>
      <b/>
      <sz val="11"/>
      <color rgb="FF000000"/>
      <name val="Arial"/>
      <family val="2"/>
    </font>
    <font>
      <sz val="11"/>
      <color rgb="FF000000"/>
      <name val="Arial"/>
      <family val="2"/>
    </font>
    <font>
      <sz val="11"/>
      <color theme="1"/>
      <name val="Arial"/>
      <family val="2"/>
    </font>
    <font>
      <sz val="11"/>
      <color theme="1"/>
      <name val="Aptos Narrow"/>
      <family val="2"/>
    </font>
    <font>
      <b/>
      <sz val="12"/>
      <color rgb="FF000000"/>
      <name val="Calibri Light"/>
      <family val="2"/>
      <scheme val="major"/>
    </font>
    <font>
      <sz val="8"/>
      <color rgb="FF000000"/>
      <name val="Calibri Light"/>
      <family val="2"/>
      <scheme val="major"/>
    </font>
    <font>
      <sz val="14"/>
      <color theme="1"/>
      <name val="Calibri Light"/>
      <family val="2"/>
      <scheme val="major"/>
    </font>
    <font>
      <sz val="10"/>
      <color rgb="FFFF0000"/>
      <name val="Calibri Light"/>
      <family val="2"/>
      <scheme val="major"/>
    </font>
    <font>
      <sz val="12"/>
      <color rgb="FF000000"/>
      <name val="Calibri Light"/>
      <family val="2"/>
      <scheme val="major"/>
    </font>
    <font>
      <sz val="8"/>
      <color theme="1"/>
      <name val="Calibri Light"/>
      <family val="2"/>
      <scheme val="major"/>
    </font>
    <font>
      <i/>
      <sz val="10"/>
      <name val="Calibri Light"/>
      <family val="2"/>
      <scheme val="major"/>
    </font>
    <font>
      <sz val="11"/>
      <color rgb="FFFF0000"/>
      <name val="Calibri Light"/>
      <family val="2"/>
      <scheme val="major"/>
    </font>
    <font>
      <b/>
      <sz val="12"/>
      <name val="Calibri Light"/>
      <family val="2"/>
      <scheme val="major"/>
    </font>
    <font>
      <sz val="12"/>
      <name val="Calibri Light"/>
      <family val="2"/>
      <scheme val="major"/>
    </font>
    <font>
      <sz val="12"/>
      <color rgb="FF000000"/>
      <name val="Calibri Light"/>
      <family val="2"/>
    </font>
    <font>
      <i/>
      <sz val="10"/>
      <color rgb="FFFF0000"/>
      <name val="Calibri Light"/>
      <family val="2"/>
    </font>
    <font>
      <b/>
      <sz val="9"/>
      <color theme="1"/>
      <name val="Calibri Light"/>
      <family val="2"/>
      <scheme val="major"/>
    </font>
    <font>
      <sz val="9"/>
      <color theme="1"/>
      <name val="Calibri Light"/>
      <family val="2"/>
      <scheme val="major"/>
    </font>
    <font>
      <b/>
      <sz val="11"/>
      <color rgb="FF000000"/>
      <name val="Calibri Light"/>
      <family val="2"/>
    </font>
    <font>
      <sz val="11"/>
      <color rgb="FF000000"/>
      <name val="Calibri Light"/>
      <family val="2"/>
    </font>
    <font>
      <b/>
      <sz val="8"/>
      <color theme="1"/>
      <name val="Calibri Light"/>
      <family val="2"/>
      <scheme val="major"/>
    </font>
    <font>
      <sz val="11"/>
      <color theme="1"/>
      <name val="宋体"/>
      <charset val="134"/>
    </font>
    <font>
      <b/>
      <sz val="11"/>
      <color theme="1"/>
      <name val="Calibri"/>
      <family val="2"/>
      <scheme val="minor"/>
    </font>
    <font>
      <sz val="8"/>
      <color rgb="FFFF0000"/>
      <name val="Calibri Light"/>
      <family val="2"/>
      <scheme val="major"/>
    </font>
    <font>
      <b/>
      <sz val="8"/>
      <color rgb="FFFF0000"/>
      <name val="Calibri Light"/>
      <family val="2"/>
      <scheme val="major"/>
    </font>
    <font>
      <vertAlign val="superscript"/>
      <sz val="11"/>
      <color theme="1"/>
      <name val="Arial"/>
      <family val="2"/>
    </font>
    <font>
      <sz val="10"/>
      <color rgb="FF000000"/>
      <name val="Calibri Light"/>
      <family val="2"/>
    </font>
    <font>
      <sz val="11"/>
      <color theme="1"/>
      <name val="Calibri"/>
      <family val="2"/>
      <scheme val="minor"/>
    </font>
    <font>
      <sz val="12"/>
      <color theme="1"/>
      <name val="Calibri Light"/>
      <family val="2"/>
      <scheme val="major"/>
    </font>
    <font>
      <sz val="11"/>
      <color theme="1"/>
      <name val="Calibri Light"/>
      <family val="2"/>
      <scheme val="major"/>
    </font>
    <font>
      <sz val="10.5"/>
      <color rgb="FF333333"/>
      <name val="Times New Roman"/>
      <family val="1"/>
    </font>
  </fonts>
  <fills count="10">
    <fill>
      <patternFill patternType="none"/>
    </fill>
    <fill>
      <patternFill patternType="gray125"/>
    </fill>
    <fill>
      <patternFill patternType="solid">
        <fgColor theme="9" tint="0.59999389629810485"/>
        <bgColor indexed="64"/>
      </patternFill>
    </fill>
    <fill>
      <patternFill patternType="solid">
        <fgColor rgb="FFD9D9D9"/>
        <bgColor indexed="64"/>
      </patternFill>
    </fill>
    <fill>
      <patternFill patternType="solid">
        <fgColor theme="0"/>
        <bgColor indexed="64"/>
      </patternFill>
    </fill>
    <fill>
      <patternFill patternType="solid">
        <fgColor theme="2" tint="-9.9978637043366805E-2"/>
        <bgColor indexed="64"/>
      </patternFill>
    </fill>
    <fill>
      <patternFill patternType="solid">
        <fgColor theme="0" tint="-0.14993743705557422"/>
        <bgColor indexed="64"/>
      </patternFill>
    </fill>
    <fill>
      <patternFill patternType="solid">
        <fgColor rgb="FFFFFF00"/>
        <bgColor indexed="64"/>
      </patternFill>
    </fill>
    <fill>
      <patternFill patternType="solid">
        <fgColor rgb="FFC6E0B4"/>
        <bgColor rgb="FFC6E0B4"/>
      </patternFill>
    </fill>
    <fill>
      <patternFill patternType="solid">
        <fgColor rgb="FFFFFFFF"/>
        <bgColor rgb="FFFFFFFF"/>
      </patternFill>
    </fill>
  </fills>
  <borders count="2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hair">
        <color auto="1"/>
      </top>
      <bottom style="thin">
        <color auto="1"/>
      </bottom>
      <diagonal/>
    </border>
    <border>
      <left/>
      <right style="thin">
        <color auto="1"/>
      </right>
      <top style="hair">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hair">
        <color auto="1"/>
      </top>
      <bottom style="thin">
        <color auto="1"/>
      </bottom>
      <diagonal/>
    </border>
    <border>
      <left/>
      <right/>
      <top style="hair">
        <color auto="1"/>
      </top>
      <bottom style="thin">
        <color auto="1"/>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2">
    <xf numFmtId="0" fontId="0" fillId="0" borderId="0"/>
    <xf numFmtId="0" fontId="42" fillId="0" borderId="0"/>
  </cellStyleXfs>
  <cellXfs count="232">
    <xf numFmtId="0" fontId="0" fillId="0" borderId="0" xfId="0"/>
    <xf numFmtId="0" fontId="0" fillId="0" borderId="0" xfId="0" applyAlignment="1">
      <alignment vertical="center"/>
    </xf>
    <xf numFmtId="0" fontId="0" fillId="2" borderId="1" xfId="0" applyFill="1" applyBorder="1" applyAlignment="1">
      <alignment vertical="center" wrapText="1"/>
    </xf>
    <xf numFmtId="0" fontId="2" fillId="0" borderId="1" xfId="0" applyFont="1" applyBorder="1" applyAlignment="1">
      <alignment vertical="center"/>
    </xf>
    <xf numFmtId="0" fontId="0" fillId="2" borderId="1" xfId="0" applyFill="1" applyBorder="1" applyAlignment="1">
      <alignment horizontal="center" vertical="center" wrapText="1"/>
    </xf>
    <xf numFmtId="0" fontId="4" fillId="0" borderId="1" xfId="0" applyFont="1" applyBorder="1" applyAlignment="1">
      <alignment vertical="center" wrapText="1"/>
    </xf>
    <xf numFmtId="0" fontId="0" fillId="0" borderId="1" xfId="0" applyBorder="1" applyAlignment="1">
      <alignment vertical="center"/>
    </xf>
    <xf numFmtId="0" fontId="5" fillId="0" borderId="0" xfId="0" applyFont="1" applyAlignment="1">
      <alignment horizontal="left" vertical="center" wrapText="1" indent="1"/>
    </xf>
    <xf numFmtId="0" fontId="6" fillId="0" borderId="0" xfId="0" applyFont="1"/>
    <xf numFmtId="0" fontId="6" fillId="0" borderId="0" xfId="0" applyFont="1" applyAlignment="1">
      <alignment vertical="center"/>
    </xf>
    <xf numFmtId="0" fontId="10" fillId="2" borderId="1" xfId="0" applyFont="1" applyFill="1" applyBorder="1" applyAlignment="1">
      <alignment horizontal="center" vertical="center" wrapText="1"/>
    </xf>
    <xf numFmtId="0" fontId="6" fillId="0" borderId="1" xfId="0" applyFont="1" applyBorder="1" applyAlignment="1">
      <alignment horizontal="left" vertical="center"/>
    </xf>
    <xf numFmtId="0" fontId="10" fillId="0" borderId="1" xfId="0" applyFont="1" applyBorder="1" applyAlignment="1">
      <alignment wrapText="1"/>
    </xf>
    <xf numFmtId="0" fontId="7" fillId="0" borderId="0" xfId="0" applyFont="1"/>
    <xf numFmtId="0" fontId="11" fillId="2" borderId="1" xfId="0" applyFont="1" applyFill="1" applyBorder="1" applyAlignment="1">
      <alignment horizontal="center" vertical="center" wrapText="1"/>
    </xf>
    <xf numFmtId="0" fontId="6" fillId="0" borderId="1" xfId="0" applyFont="1" applyBorder="1" applyAlignment="1">
      <alignment horizontal="center" vertical="center"/>
    </xf>
    <xf numFmtId="0" fontId="11" fillId="0" borderId="0" xfId="0" applyFont="1" applyAlignment="1">
      <alignment horizontal="center" wrapText="1"/>
    </xf>
    <xf numFmtId="0" fontId="6" fillId="2" borderId="1" xfId="0" applyFont="1" applyFill="1" applyBorder="1" applyAlignment="1">
      <alignment vertical="center" wrapText="1"/>
    </xf>
    <xf numFmtId="0" fontId="6" fillId="0" borderId="1" xfId="0" applyFont="1" applyBorder="1" applyAlignment="1">
      <alignment horizontal="left" vertical="center" wrapText="1"/>
    </xf>
    <xf numFmtId="0" fontId="6" fillId="0" borderId="0" xfId="0" applyFont="1" applyAlignment="1">
      <alignment vertical="center" wrapText="1"/>
    </xf>
    <xf numFmtId="0" fontId="6" fillId="0" borderId="0" xfId="0" applyFont="1" applyAlignment="1">
      <alignment horizontal="center" vertical="center" wrapText="1"/>
    </xf>
    <xf numFmtId="0" fontId="6" fillId="5" borderId="1" xfId="0" applyFont="1" applyFill="1" applyBorder="1" applyAlignment="1">
      <alignment vertical="center" wrapText="1"/>
    </xf>
    <xf numFmtId="0" fontId="7" fillId="0" borderId="0" xfId="0" applyFont="1" applyAlignment="1">
      <alignment horizontal="left"/>
    </xf>
    <xf numFmtId="0" fontId="8" fillId="0" borderId="0" xfId="0" applyFont="1" applyAlignment="1">
      <alignment horizontal="left" vertical="center" wrapText="1"/>
    </xf>
    <xf numFmtId="0" fontId="9" fillId="0" borderId="0" xfId="0" applyFont="1" applyAlignment="1">
      <alignment horizontal="left" vertical="top"/>
    </xf>
    <xf numFmtId="0" fontId="10" fillId="0" borderId="0" xfId="0" applyFont="1" applyAlignment="1">
      <alignment horizontal="center" vertical="center" wrapText="1"/>
    </xf>
    <xf numFmtId="0" fontId="13" fillId="0" borderId="0" xfId="0" applyFont="1"/>
    <xf numFmtId="0" fontId="6" fillId="0" borderId="0" xfId="0" applyFont="1" applyAlignment="1">
      <alignment horizontal="center" vertical="center"/>
    </xf>
    <xf numFmtId="0" fontId="11" fillId="0" borderId="0" xfId="0" applyFont="1" applyAlignment="1">
      <alignment horizontal="center" vertical="center" wrapText="1"/>
    </xf>
    <xf numFmtId="0" fontId="12" fillId="0" borderId="0" xfId="0" applyFont="1" applyAlignment="1">
      <alignment horizontal="left" vertical="center" wrapText="1"/>
    </xf>
    <xf numFmtId="0" fontId="6" fillId="0" borderId="1" xfId="0" applyFont="1" applyBorder="1" applyAlignment="1">
      <alignment vertical="center"/>
    </xf>
    <xf numFmtId="0" fontId="6" fillId="2" borderId="1" xfId="0" applyFont="1" applyFill="1" applyBorder="1" applyAlignment="1">
      <alignment horizontal="center" vertical="center"/>
    </xf>
    <xf numFmtId="0" fontId="6" fillId="6" borderId="1" xfId="0" applyFont="1" applyFill="1" applyBorder="1" applyAlignment="1">
      <alignment horizontal="center" vertical="center"/>
    </xf>
    <xf numFmtId="0" fontId="6" fillId="2" borderId="1" xfId="0" applyFont="1" applyFill="1" applyBorder="1" applyAlignment="1">
      <alignment vertical="center"/>
    </xf>
    <xf numFmtId="0" fontId="6" fillId="4" borderId="1" xfId="0" applyFont="1" applyFill="1" applyBorder="1" applyAlignment="1">
      <alignment horizontal="center" vertical="center"/>
    </xf>
    <xf numFmtId="0" fontId="6" fillId="0" borderId="1" xfId="0" applyFont="1" applyBorder="1" applyAlignment="1">
      <alignment horizontal="center" vertical="center" wrapText="1"/>
    </xf>
    <xf numFmtId="0" fontId="7" fillId="4" borderId="0" xfId="0" applyFont="1" applyFill="1"/>
    <xf numFmtId="0" fontId="13" fillId="0" borderId="1" xfId="0" applyFont="1" applyBorder="1" applyAlignment="1">
      <alignment horizontal="center" vertical="center"/>
    </xf>
    <xf numFmtId="0" fontId="6" fillId="0" borderId="0" xfId="0" applyFont="1" applyAlignment="1">
      <alignment horizontal="right" vertical="center"/>
    </xf>
    <xf numFmtId="0" fontId="6" fillId="2" borderId="0" xfId="0" applyFont="1" applyFill="1" applyAlignment="1">
      <alignment vertical="center"/>
    </xf>
    <xf numFmtId="0" fontId="14" fillId="0" borderId="0" xfId="0" applyFont="1" applyAlignment="1">
      <alignment vertical="center"/>
    </xf>
    <xf numFmtId="0" fontId="6" fillId="0" borderId="0" xfId="0" applyFont="1" applyAlignment="1">
      <alignment horizontal="left" vertical="center"/>
    </xf>
    <xf numFmtId="0" fontId="10" fillId="6" borderId="3"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6" fillId="4" borderId="3" xfId="0" applyFont="1" applyFill="1" applyBorder="1" applyAlignment="1">
      <alignment horizontal="left" vertical="center"/>
    </xf>
    <xf numFmtId="0" fontId="14" fillId="0" borderId="0" xfId="0" applyFont="1" applyAlignment="1">
      <alignment horizontal="left" wrapText="1"/>
    </xf>
    <xf numFmtId="0" fontId="9" fillId="0" borderId="0" xfId="0" applyFont="1"/>
    <xf numFmtId="0" fontId="15" fillId="0" borderId="1" xfId="0" applyFont="1" applyBorder="1" applyAlignment="1">
      <alignment horizontal="center" vertical="center" wrapText="1"/>
    </xf>
    <xf numFmtId="0" fontId="15" fillId="2" borderId="1" xfId="0" applyFont="1" applyFill="1" applyBorder="1" applyAlignment="1">
      <alignment horizontal="center" vertical="center" wrapText="1"/>
    </xf>
    <xf numFmtId="0" fontId="16" fillId="2" borderId="1" xfId="0" applyFont="1" applyFill="1" applyBorder="1" applyAlignment="1">
      <alignment vertical="center" wrapText="1"/>
    </xf>
    <xf numFmtId="0" fontId="16"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17" fillId="4" borderId="1" xfId="0" applyFont="1" applyFill="1" applyBorder="1" applyAlignment="1">
      <alignment horizontal="center" vertical="center" wrapText="1"/>
    </xf>
    <xf numFmtId="0" fontId="18" fillId="0" borderId="1" xfId="0" applyFont="1" applyBorder="1" applyAlignment="1">
      <alignment horizontal="center" vertical="center" wrapText="1"/>
    </xf>
    <xf numFmtId="0" fontId="22" fillId="0" borderId="0" xfId="0" applyFont="1"/>
    <xf numFmtId="0" fontId="23" fillId="2" borderId="1" xfId="0" applyFont="1" applyFill="1" applyBorder="1" applyAlignment="1">
      <alignment horizontal="center" vertical="center" wrapText="1"/>
    </xf>
    <xf numFmtId="0" fontId="0" fillId="0" borderId="0" xfId="0" applyAlignment="1">
      <alignment horizontal="left" vertical="center" wrapText="1"/>
    </xf>
    <xf numFmtId="0" fontId="6" fillId="0" borderId="1" xfId="0" applyFont="1" applyBorder="1" applyAlignment="1">
      <alignment vertical="center" wrapText="1"/>
    </xf>
    <xf numFmtId="0" fontId="9" fillId="0" borderId="0" xfId="0" applyFont="1" applyAlignment="1">
      <alignment horizontal="left"/>
    </xf>
    <xf numFmtId="0" fontId="7" fillId="0" borderId="0" xfId="0" applyFont="1" applyAlignment="1">
      <alignment horizontal="left" vertical="center"/>
    </xf>
    <xf numFmtId="0" fontId="17" fillId="0" borderId="0" xfId="0" applyFont="1" applyAlignment="1">
      <alignment horizontal="center" vertical="center" wrapText="1"/>
    </xf>
    <xf numFmtId="0" fontId="6" fillId="0" borderId="0" xfId="0" applyFont="1" applyAlignment="1">
      <alignment horizontal="left"/>
    </xf>
    <xf numFmtId="0" fontId="0" fillId="0" borderId="0" xfId="0" applyAlignment="1">
      <alignment horizontal="left" wrapText="1"/>
    </xf>
    <xf numFmtId="0" fontId="7" fillId="0" borderId="0" xfId="0" applyFont="1" applyAlignment="1">
      <alignment vertical="center"/>
    </xf>
    <xf numFmtId="0" fontId="10" fillId="0" borderId="0" xfId="0" applyFont="1" applyAlignment="1">
      <alignment horizontal="right" vertical="center" indent="1"/>
    </xf>
    <xf numFmtId="0" fontId="7" fillId="0" borderId="0" xfId="0" applyFont="1" applyAlignment="1">
      <alignment vertical="center" wrapText="1"/>
    </xf>
    <xf numFmtId="0" fontId="26" fillId="0" borderId="0" xfId="0" applyFont="1"/>
    <xf numFmtId="0" fontId="14" fillId="0" borderId="10" xfId="0" applyFont="1" applyBorder="1" applyAlignment="1">
      <alignment vertical="center"/>
    </xf>
    <xf numFmtId="0" fontId="9" fillId="0" borderId="0" xfId="0" applyFont="1" applyAlignment="1">
      <alignment vertical="center"/>
    </xf>
    <xf numFmtId="0" fontId="29" fillId="8" borderId="17" xfId="0" applyFont="1" applyFill="1" applyBorder="1" applyAlignment="1">
      <alignment horizontal="center" vertical="center" wrapText="1"/>
    </xf>
    <xf numFmtId="0" fontId="29" fillId="8" borderId="17" xfId="0" applyFont="1" applyFill="1" applyBorder="1" applyAlignment="1">
      <alignment vertical="center"/>
    </xf>
    <xf numFmtId="0" fontId="31" fillId="2" borderId="5" xfId="0" applyFont="1" applyFill="1" applyBorder="1" applyAlignment="1">
      <alignment horizontal="center" vertical="center" wrapText="1"/>
    </xf>
    <xf numFmtId="0" fontId="24" fillId="2" borderId="18" xfId="0" applyFont="1" applyFill="1" applyBorder="1" applyAlignment="1">
      <alignment horizontal="center" vertical="center" wrapText="1"/>
    </xf>
    <xf numFmtId="10" fontId="13" fillId="0" borderId="1" xfId="0" applyNumberFormat="1" applyFont="1" applyBorder="1" applyAlignment="1">
      <alignment horizontal="center" vertical="center" wrapText="1"/>
    </xf>
    <xf numFmtId="10" fontId="6" fillId="0" borderId="0" xfId="0" applyNumberFormat="1" applyFont="1" applyAlignment="1">
      <alignment vertical="center"/>
    </xf>
    <xf numFmtId="10" fontId="6" fillId="0" borderId="1" xfId="0" applyNumberFormat="1" applyFont="1" applyBorder="1" applyAlignment="1">
      <alignment vertical="center"/>
    </xf>
    <xf numFmtId="0" fontId="14" fillId="0" borderId="0" xfId="0" applyFont="1" applyAlignment="1">
      <alignment vertical="center" wrapText="1"/>
    </xf>
    <xf numFmtId="0" fontId="29" fillId="8" borderId="20" xfId="0" applyFont="1" applyFill="1" applyBorder="1" applyAlignment="1">
      <alignment horizontal="center" vertical="center" wrapText="1"/>
    </xf>
    <xf numFmtId="0" fontId="29" fillId="8" borderId="21" xfId="0" applyFont="1" applyFill="1" applyBorder="1" applyAlignment="1">
      <alignment horizontal="center" vertical="center" wrapText="1"/>
    </xf>
    <xf numFmtId="0" fontId="33" fillId="0" borderId="17" xfId="0" applyFont="1" applyBorder="1" applyAlignment="1">
      <alignment horizontal="center" vertical="center"/>
    </xf>
    <xf numFmtId="0" fontId="33" fillId="9" borderId="17" xfId="0" applyFont="1" applyFill="1" applyBorder="1" applyAlignment="1">
      <alignment horizontal="center" vertical="center"/>
    </xf>
    <xf numFmtId="0" fontId="34" fillId="0" borderId="17" xfId="0" applyFont="1" applyBorder="1" applyAlignment="1">
      <alignment horizontal="center" vertical="center"/>
    </xf>
    <xf numFmtId="0" fontId="34" fillId="9" borderId="17" xfId="0" applyFont="1" applyFill="1" applyBorder="1" applyAlignment="1">
      <alignment horizontal="center" vertical="center"/>
    </xf>
    <xf numFmtId="0" fontId="13" fillId="0" borderId="1" xfId="0" applyFont="1" applyBorder="1" applyAlignment="1">
      <alignment horizontal="center" vertical="center" wrapText="1"/>
    </xf>
    <xf numFmtId="10" fontId="13" fillId="0" borderId="1" xfId="0" applyNumberFormat="1" applyFont="1" applyBorder="1" applyAlignment="1">
      <alignment vertical="center" wrapText="1"/>
    </xf>
    <xf numFmtId="0" fontId="13" fillId="4" borderId="1" xfId="0" applyFont="1" applyFill="1" applyBorder="1" applyAlignment="1">
      <alignment horizontal="center" vertical="center" wrapText="1"/>
    </xf>
    <xf numFmtId="0" fontId="33" fillId="0" borderId="17" xfId="0" applyFont="1" applyBorder="1" applyAlignment="1">
      <alignment horizontal="center" vertical="center" wrapText="1"/>
    </xf>
    <xf numFmtId="0" fontId="34" fillId="0" borderId="17" xfId="0" applyFont="1" applyBorder="1" applyAlignment="1">
      <alignment horizontal="center" vertical="center" wrapText="1"/>
    </xf>
    <xf numFmtId="0" fontId="8" fillId="2" borderId="1" xfId="0" applyFont="1" applyFill="1" applyBorder="1" applyAlignment="1">
      <alignment vertical="center" wrapText="1"/>
    </xf>
    <xf numFmtId="0" fontId="10" fillId="2" borderId="1" xfId="0" applyFont="1" applyFill="1" applyBorder="1" applyAlignment="1">
      <alignment vertical="center" wrapText="1"/>
    </xf>
    <xf numFmtId="0" fontId="10" fillId="2" borderId="1" xfId="0" applyFont="1" applyFill="1" applyBorder="1" applyAlignment="1">
      <alignment vertical="center"/>
    </xf>
    <xf numFmtId="0" fontId="14" fillId="2" borderId="1" xfId="0" applyFont="1" applyFill="1" applyBorder="1" applyAlignment="1">
      <alignment horizontal="right" vertical="center" wrapText="1"/>
    </xf>
    <xf numFmtId="0" fontId="13" fillId="6" borderId="1" xfId="0" applyFont="1" applyFill="1" applyBorder="1" applyAlignment="1">
      <alignment horizontal="center" vertical="center"/>
    </xf>
    <xf numFmtId="0" fontId="44" fillId="0" borderId="1" xfId="0" applyFont="1" applyBorder="1" applyAlignment="1">
      <alignment horizontal="center" vertical="center"/>
    </xf>
    <xf numFmtId="0" fontId="14" fillId="0" borderId="1" xfId="0" applyFont="1" applyBorder="1" applyAlignment="1">
      <alignment horizontal="left" vertical="center" wrapText="1"/>
    </xf>
    <xf numFmtId="0" fontId="10" fillId="2" borderId="1" xfId="0" applyFont="1" applyFill="1" applyBorder="1" applyAlignment="1">
      <alignment horizontal="left" vertical="center" wrapText="1"/>
    </xf>
    <xf numFmtId="0" fontId="43" fillId="2" borderId="1" xfId="0" applyFont="1" applyFill="1" applyBorder="1" applyAlignment="1">
      <alignment horizontal="left" vertical="center"/>
    </xf>
    <xf numFmtId="0" fontId="44" fillId="0" borderId="1" xfId="0" applyFont="1" applyBorder="1" applyAlignment="1">
      <alignment horizontal="left" vertical="center"/>
    </xf>
    <xf numFmtId="0" fontId="10" fillId="2" borderId="1" xfId="0" applyFont="1" applyFill="1" applyBorder="1" applyAlignment="1">
      <alignment horizontal="left" vertical="center"/>
    </xf>
    <xf numFmtId="0" fontId="44" fillId="2" borderId="1" xfId="0" applyFont="1" applyFill="1" applyBorder="1" applyAlignment="1">
      <alignment horizontal="left" vertical="center"/>
    </xf>
    <xf numFmtId="49" fontId="6" fillId="2" borderId="1" xfId="0" applyNumberFormat="1" applyFont="1" applyFill="1" applyBorder="1" applyAlignment="1">
      <alignment vertical="center"/>
    </xf>
    <xf numFmtId="0" fontId="6" fillId="2" borderId="5" xfId="0" applyFont="1" applyFill="1" applyBorder="1" applyAlignment="1">
      <alignment vertical="center"/>
    </xf>
    <xf numFmtId="0" fontId="6" fillId="2" borderId="6" xfId="0" applyFont="1" applyFill="1" applyBorder="1" applyAlignment="1">
      <alignment vertical="center"/>
    </xf>
    <xf numFmtId="49" fontId="6" fillId="2" borderId="7" xfId="0" applyNumberFormat="1" applyFont="1" applyFill="1" applyBorder="1" applyAlignment="1">
      <alignment vertical="center"/>
    </xf>
    <xf numFmtId="0" fontId="13" fillId="0" borderId="1" xfId="0" applyFont="1" applyBorder="1" applyAlignment="1">
      <alignment horizontal="left" vertical="center"/>
    </xf>
    <xf numFmtId="0" fontId="44" fillId="0" borderId="0" xfId="0" applyFont="1" applyAlignment="1">
      <alignment vertical="center"/>
    </xf>
    <xf numFmtId="0" fontId="45" fillId="0" borderId="0" xfId="0" applyFont="1"/>
    <xf numFmtId="0" fontId="6" fillId="0" borderId="1" xfId="0" applyFont="1" applyBorder="1" applyAlignment="1">
      <alignment horizontal="left" vertical="center" wrapText="1"/>
    </xf>
    <xf numFmtId="49" fontId="6" fillId="0" borderId="2" xfId="0" applyNumberFormat="1" applyFont="1" applyBorder="1" applyAlignment="1">
      <alignment horizontal="left" vertical="center"/>
    </xf>
    <xf numFmtId="49" fontId="6" fillId="0" borderId="4" xfId="0" applyNumberFormat="1" applyFont="1" applyBorder="1" applyAlignment="1">
      <alignment horizontal="left" vertical="center"/>
    </xf>
    <xf numFmtId="49" fontId="6" fillId="0" borderId="3" xfId="0" applyNumberFormat="1" applyFont="1" applyBorder="1" applyAlignment="1">
      <alignment horizontal="left" vertical="center"/>
    </xf>
    <xf numFmtId="0" fontId="7" fillId="0" borderId="12" xfId="0" applyFont="1" applyBorder="1" applyAlignment="1">
      <alignment horizontal="left"/>
    </xf>
    <xf numFmtId="0" fontId="7" fillId="0" borderId="0" xfId="0" applyFont="1" applyAlignment="1">
      <alignment horizontal="left"/>
    </xf>
    <xf numFmtId="0" fontId="28" fillId="2" borderId="1" xfId="0" applyFont="1" applyFill="1" applyBorder="1" applyAlignment="1">
      <alignment horizontal="left" vertical="center" wrapText="1"/>
    </xf>
    <xf numFmtId="0" fontId="13" fillId="0" borderId="2" xfId="0" applyFont="1" applyBorder="1" applyAlignment="1">
      <alignment horizontal="left" vertical="center" wrapText="1"/>
    </xf>
    <xf numFmtId="0" fontId="13" fillId="0" borderId="3" xfId="0" applyFont="1" applyBorder="1" applyAlignment="1">
      <alignment horizontal="left" vertical="center" wrapText="1"/>
    </xf>
    <xf numFmtId="0" fontId="13" fillId="4" borderId="2" xfId="0" applyFont="1" applyFill="1" applyBorder="1" applyAlignment="1">
      <alignment horizontal="left" vertical="center"/>
    </xf>
    <xf numFmtId="0" fontId="13" fillId="4" borderId="3" xfId="0" applyFont="1" applyFill="1" applyBorder="1" applyAlignment="1">
      <alignment horizontal="left" vertical="center"/>
    </xf>
    <xf numFmtId="0" fontId="13" fillId="6" borderId="1" xfId="0" applyFont="1" applyFill="1" applyBorder="1" applyAlignment="1">
      <alignment horizontal="left" vertical="center" wrapText="1"/>
    </xf>
    <xf numFmtId="0" fontId="13" fillId="0" borderId="2" xfId="0" applyFont="1" applyBorder="1" applyAlignment="1">
      <alignment horizontal="left" vertical="center"/>
    </xf>
    <xf numFmtId="0" fontId="13" fillId="0" borderId="3" xfId="0" applyFont="1" applyBorder="1" applyAlignment="1">
      <alignment horizontal="left" vertical="center"/>
    </xf>
    <xf numFmtId="0" fontId="13" fillId="0" borderId="8" xfId="0" applyFont="1" applyBorder="1" applyAlignment="1">
      <alignment horizontal="left" vertical="top" wrapText="1"/>
    </xf>
    <xf numFmtId="0" fontId="13" fillId="0" borderId="9" xfId="0" applyFont="1" applyBorder="1" applyAlignment="1">
      <alignment horizontal="left" vertical="top" wrapText="1"/>
    </xf>
    <xf numFmtId="0" fontId="13" fillId="0" borderId="13" xfId="0" applyFont="1" applyBorder="1" applyAlignment="1">
      <alignment horizontal="left" vertical="top" wrapText="1"/>
    </xf>
    <xf numFmtId="0" fontId="13" fillId="0" borderId="11" xfId="0" applyFont="1" applyBorder="1" applyAlignment="1">
      <alignment horizontal="left" vertical="top" wrapText="1"/>
    </xf>
    <xf numFmtId="0" fontId="13" fillId="0" borderId="12" xfId="0" applyFont="1" applyBorder="1" applyAlignment="1">
      <alignment horizontal="left" vertical="top" wrapText="1"/>
    </xf>
    <xf numFmtId="0" fontId="13" fillId="0" borderId="14" xfId="0" applyFont="1" applyBorder="1" applyAlignment="1">
      <alignment horizontal="left" vertical="top" wrapText="1"/>
    </xf>
    <xf numFmtId="0" fontId="12" fillId="2" borderId="8" xfId="0" applyFont="1" applyFill="1" applyBorder="1" applyAlignment="1">
      <alignment horizontal="center" vertical="center"/>
    </xf>
    <xf numFmtId="0" fontId="12" fillId="2" borderId="13" xfId="0" applyFont="1" applyFill="1" applyBorder="1" applyAlignment="1">
      <alignment horizontal="center" vertical="center"/>
    </xf>
    <xf numFmtId="0" fontId="12" fillId="2" borderId="9" xfId="0" applyFont="1" applyFill="1" applyBorder="1" applyAlignment="1">
      <alignment horizontal="center" vertical="center"/>
    </xf>
    <xf numFmtId="0" fontId="24" fillId="2" borderId="15" xfId="0" applyFont="1" applyFill="1" applyBorder="1" applyAlignment="1">
      <alignment horizontal="center" vertical="center" wrapText="1"/>
    </xf>
    <xf numFmtId="0" fontId="24" fillId="2" borderId="16" xfId="0" applyFont="1" applyFill="1" applyBorder="1" applyAlignment="1">
      <alignment horizontal="center" vertical="center" wrapText="1"/>
    </xf>
    <xf numFmtId="0" fontId="32" fillId="2" borderId="15" xfId="0" applyFont="1" applyFill="1" applyBorder="1" applyAlignment="1">
      <alignment horizontal="center" vertical="center" wrapText="1"/>
    </xf>
    <xf numFmtId="0" fontId="32" fillId="2" borderId="19" xfId="0" applyFont="1" applyFill="1" applyBorder="1" applyAlignment="1">
      <alignment horizontal="center" vertical="center" wrapText="1"/>
    </xf>
    <xf numFmtId="0" fontId="32" fillId="2" borderId="16" xfId="0" applyFont="1" applyFill="1" applyBorder="1" applyAlignment="1">
      <alignment horizontal="center" vertical="center" wrapText="1"/>
    </xf>
    <xf numFmtId="10" fontId="13" fillId="0" borderId="2" xfId="0" applyNumberFormat="1" applyFont="1" applyBorder="1" applyAlignment="1">
      <alignment horizontal="left" vertical="center" wrapText="1"/>
    </xf>
    <xf numFmtId="10" fontId="13" fillId="0" borderId="4" xfId="0" applyNumberFormat="1" applyFont="1" applyBorder="1" applyAlignment="1">
      <alignment horizontal="left" vertical="center" wrapText="1"/>
    </xf>
    <xf numFmtId="10" fontId="13" fillId="0" borderId="3" xfId="0" applyNumberFormat="1" applyFont="1" applyBorder="1" applyAlignment="1">
      <alignment horizontal="left" vertical="center" wrapText="1"/>
    </xf>
    <xf numFmtId="10" fontId="13" fillId="4" borderId="2" xfId="0" applyNumberFormat="1" applyFont="1" applyFill="1" applyBorder="1" applyAlignment="1">
      <alignment horizontal="left" vertical="center" wrapText="1"/>
    </xf>
    <xf numFmtId="10" fontId="13" fillId="4" borderId="4" xfId="0" applyNumberFormat="1" applyFont="1" applyFill="1" applyBorder="1" applyAlignment="1">
      <alignment horizontal="left" vertical="center" wrapText="1"/>
    </xf>
    <xf numFmtId="10" fontId="13" fillId="4" borderId="3" xfId="0" applyNumberFormat="1" applyFont="1" applyFill="1" applyBorder="1" applyAlignment="1">
      <alignment horizontal="left" vertical="center" wrapText="1"/>
    </xf>
    <xf numFmtId="0" fontId="11" fillId="2" borderId="1" xfId="0" applyFont="1" applyFill="1" applyBorder="1" applyAlignment="1">
      <alignment horizontal="center" vertical="center"/>
    </xf>
    <xf numFmtId="0" fontId="28" fillId="0" borderId="2" xfId="0" applyFont="1" applyBorder="1" applyAlignment="1">
      <alignment horizontal="left" vertical="center" wrapText="1"/>
    </xf>
    <xf numFmtId="0" fontId="28" fillId="0" borderId="3" xfId="0" applyFont="1" applyBorder="1" applyAlignment="1">
      <alignment horizontal="left" vertical="center" wrapText="1"/>
    </xf>
    <xf numFmtId="0" fontId="28" fillId="0" borderId="2" xfId="0" applyFont="1" applyBorder="1" applyAlignment="1">
      <alignment horizontal="center" vertical="center" wrapText="1"/>
    </xf>
    <xf numFmtId="0" fontId="28" fillId="0" borderId="3" xfId="0" applyFont="1" applyBorder="1" applyAlignment="1">
      <alignment horizontal="center" vertical="center" wrapText="1"/>
    </xf>
    <xf numFmtId="0" fontId="12" fillId="2" borderId="2" xfId="0" applyFont="1" applyFill="1" applyBorder="1" applyAlignment="1">
      <alignment horizontal="center" vertical="center" wrapText="1"/>
    </xf>
    <xf numFmtId="0" fontId="12" fillId="2" borderId="3" xfId="0" applyFont="1" applyFill="1" applyBorder="1" applyAlignment="1">
      <alignment horizontal="center" vertical="center" wrapText="1"/>
    </xf>
    <xf numFmtId="0" fontId="27" fillId="0" borderId="2" xfId="0" applyFont="1" applyBorder="1" applyAlignment="1">
      <alignment horizontal="left" vertical="center" wrapText="1"/>
    </xf>
    <xf numFmtId="0" fontId="27" fillId="0" borderId="3" xfId="0" applyFont="1" applyBorder="1" applyAlignment="1">
      <alignment horizontal="left" vertical="center" wrapText="1"/>
    </xf>
    <xf numFmtId="0" fontId="29" fillId="0" borderId="17" xfId="0" applyFont="1" applyBorder="1" applyAlignment="1">
      <alignment horizontal="left" vertical="center" wrapText="1"/>
    </xf>
    <xf numFmtId="0" fontId="0" fillId="0" borderId="17" xfId="0" applyBorder="1"/>
    <xf numFmtId="0" fontId="29" fillId="8" borderId="17" xfId="0" applyFont="1" applyFill="1" applyBorder="1" applyAlignment="1">
      <alignment horizontal="center" vertical="center" wrapText="1"/>
    </xf>
    <xf numFmtId="0" fontId="29" fillId="8" borderId="21" xfId="0" applyFont="1" applyFill="1" applyBorder="1" applyAlignment="1">
      <alignment horizontal="center" vertical="center" wrapText="1"/>
    </xf>
    <xf numFmtId="0" fontId="29" fillId="8" borderId="22" xfId="0" applyFont="1" applyFill="1" applyBorder="1" applyAlignment="1">
      <alignment horizontal="center" vertical="center" wrapText="1"/>
    </xf>
    <xf numFmtId="0" fontId="12" fillId="2" borderId="5" xfId="0" applyFont="1" applyFill="1" applyBorder="1" applyAlignment="1">
      <alignment horizontal="center" vertical="center" wrapText="1"/>
    </xf>
    <xf numFmtId="0" fontId="12" fillId="2" borderId="6"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25" fillId="0" borderId="0" xfId="0" applyFont="1" applyAlignment="1">
      <alignment horizontal="left" vertical="center" wrapText="1"/>
    </xf>
    <xf numFmtId="0" fontId="30" fillId="8" borderId="17" xfId="0" applyFont="1" applyFill="1" applyBorder="1" applyAlignment="1">
      <alignment horizontal="right" vertical="center" wrapText="1"/>
    </xf>
    <xf numFmtId="0" fontId="10" fillId="2" borderId="2"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6" fillId="4" borderId="2" xfId="0" applyFont="1" applyFill="1" applyBorder="1" applyAlignment="1">
      <alignment horizontal="left" vertical="center"/>
    </xf>
    <xf numFmtId="0" fontId="6" fillId="4" borderId="3" xfId="0" applyFont="1" applyFill="1" applyBorder="1" applyAlignment="1">
      <alignment horizontal="left" vertical="center"/>
    </xf>
    <xf numFmtId="0" fontId="6" fillId="0" borderId="2" xfId="0" applyFont="1" applyBorder="1" applyAlignment="1">
      <alignment horizontal="left" vertical="center"/>
    </xf>
    <xf numFmtId="0" fontId="6" fillId="0" borderId="3" xfId="0" applyFont="1" applyBorder="1" applyAlignment="1">
      <alignment horizontal="left" vertical="center"/>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0" fillId="2" borderId="3" xfId="0" applyFont="1" applyFill="1" applyBorder="1" applyAlignment="1">
      <alignment horizontal="left" vertical="center" wrapText="1"/>
    </xf>
    <xf numFmtId="0" fontId="14" fillId="0" borderId="0" xfId="0" applyFont="1" applyAlignment="1">
      <alignment horizontal="left" wrapText="1"/>
    </xf>
    <xf numFmtId="0" fontId="6" fillId="2" borderId="2" xfId="0" applyFont="1" applyFill="1" applyBorder="1" applyAlignment="1">
      <alignment horizontal="left" vertical="center" wrapText="1"/>
    </xf>
    <xf numFmtId="0" fontId="6" fillId="2" borderId="4" xfId="0" applyFont="1" applyFill="1" applyBorder="1" applyAlignment="1">
      <alignment horizontal="left" vertical="center" wrapText="1"/>
    </xf>
    <xf numFmtId="0" fontId="6" fillId="2" borderId="3" xfId="0" applyFont="1" applyFill="1" applyBorder="1" applyAlignment="1">
      <alignment horizontal="left" vertical="center" wrapText="1"/>
    </xf>
    <xf numFmtId="0" fontId="21" fillId="0" borderId="1" xfId="0" applyFont="1" applyBorder="1" applyAlignment="1">
      <alignment horizontal="left" vertical="center" wrapText="1"/>
    </xf>
    <xf numFmtId="0" fontId="21" fillId="0" borderId="11" xfId="0" applyFont="1" applyBorder="1" applyAlignment="1">
      <alignment horizontal="left" vertical="center" wrapText="1"/>
    </xf>
    <xf numFmtId="0" fontId="21" fillId="0" borderId="12" xfId="0" applyFont="1" applyBorder="1" applyAlignment="1">
      <alignment horizontal="left" vertical="center" wrapText="1"/>
    </xf>
    <xf numFmtId="0" fontId="21" fillId="0" borderId="14" xfId="0" applyFont="1" applyBorder="1" applyAlignment="1">
      <alignment horizontal="left" vertical="center" wrapText="1"/>
    </xf>
    <xf numFmtId="0" fontId="19" fillId="2" borderId="8" xfId="0" applyFont="1" applyFill="1" applyBorder="1" applyAlignment="1">
      <alignment horizontal="center" vertical="center" wrapText="1"/>
    </xf>
    <xf numFmtId="0" fontId="19" fillId="2" borderId="9" xfId="0" applyFont="1" applyFill="1" applyBorder="1" applyAlignment="1">
      <alignment horizontal="center" vertical="center" wrapText="1"/>
    </xf>
    <xf numFmtId="0" fontId="19" fillId="2" borderId="13" xfId="0" applyFont="1" applyFill="1" applyBorder="1" applyAlignment="1">
      <alignment horizontal="center" vertical="center" wrapText="1"/>
    </xf>
    <xf numFmtId="0" fontId="20" fillId="2" borderId="6" xfId="0" applyFont="1" applyFill="1" applyBorder="1" applyAlignment="1">
      <alignment horizontal="center" vertical="center" wrapText="1"/>
    </xf>
    <xf numFmtId="0" fontId="20" fillId="2" borderId="11" xfId="0" applyFont="1" applyFill="1" applyBorder="1" applyAlignment="1">
      <alignment horizontal="center" vertical="center" wrapText="1"/>
    </xf>
    <xf numFmtId="0" fontId="20" fillId="2" borderId="12" xfId="0" applyFont="1" applyFill="1" applyBorder="1" applyAlignment="1">
      <alignment horizontal="center" vertical="center" wrapText="1"/>
    </xf>
    <xf numFmtId="0" fontId="20" fillId="2" borderId="14"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6" fillId="0" borderId="8" xfId="0" applyFont="1" applyBorder="1" applyAlignment="1">
      <alignment horizontal="center" vertical="center"/>
    </xf>
    <xf numFmtId="0" fontId="6" fillId="0" borderId="9" xfId="0" applyFont="1" applyBorder="1" applyAlignment="1">
      <alignment horizontal="center" vertical="center"/>
    </xf>
    <xf numFmtId="0" fontId="6" fillId="0" borderId="0" xfId="0" applyFont="1" applyAlignment="1">
      <alignment horizontal="center" vertical="center"/>
    </xf>
    <xf numFmtId="0" fontId="13" fillId="0" borderId="1" xfId="0" applyFont="1" applyBorder="1" applyAlignment="1">
      <alignment horizontal="center" vertical="center"/>
    </xf>
    <xf numFmtId="0" fontId="6" fillId="0" borderId="1" xfId="0" applyFont="1" applyBorder="1" applyAlignment="1">
      <alignment horizontal="center" vertical="center"/>
    </xf>
    <xf numFmtId="0" fontId="6" fillId="2" borderId="1" xfId="0" applyFont="1" applyFill="1" applyBorder="1" applyAlignment="1">
      <alignment horizontal="center" vertical="center" wrapText="1"/>
    </xf>
    <xf numFmtId="0" fontId="6" fillId="0" borderId="10" xfId="0" applyFont="1" applyBorder="1" applyAlignment="1">
      <alignment horizontal="center" vertical="center"/>
    </xf>
    <xf numFmtId="0" fontId="6" fillId="2" borderId="1" xfId="0" applyFont="1" applyFill="1" applyBorder="1" applyAlignment="1">
      <alignment horizontal="center" vertical="center"/>
    </xf>
    <xf numFmtId="0" fontId="6" fillId="6" borderId="2" xfId="0" applyFont="1" applyFill="1" applyBorder="1" applyAlignment="1">
      <alignment horizontal="center" vertical="center" wrapText="1"/>
    </xf>
    <xf numFmtId="0" fontId="6" fillId="6" borderId="4" xfId="0" applyFont="1" applyFill="1" applyBorder="1" applyAlignment="1">
      <alignment horizontal="center" vertical="center" wrapText="1"/>
    </xf>
    <xf numFmtId="0" fontId="0" fillId="0" borderId="4" xfId="0" applyBorder="1" applyAlignment="1">
      <alignment horizontal="center" vertical="center" wrapText="1"/>
    </xf>
    <xf numFmtId="0" fontId="0" fillId="0" borderId="3" xfId="0" applyBorder="1" applyAlignment="1">
      <alignment horizontal="center" vertical="center" wrapText="1"/>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6" xfId="0" applyFont="1" applyBorder="1" applyAlignment="1">
      <alignment horizontal="center" vertical="center"/>
    </xf>
    <xf numFmtId="0" fontId="6" fillId="2" borderId="5" xfId="0" applyFont="1" applyFill="1" applyBorder="1" applyAlignment="1">
      <alignment horizontal="center" vertical="center"/>
    </xf>
    <xf numFmtId="0" fontId="6" fillId="2" borderId="6" xfId="0" applyFont="1" applyFill="1" applyBorder="1" applyAlignment="1">
      <alignment horizontal="center" vertical="center"/>
    </xf>
    <xf numFmtId="0" fontId="6" fillId="2" borderId="5" xfId="0" applyFont="1" applyFill="1" applyBorder="1" applyAlignment="1">
      <alignment horizontal="center" vertical="center" wrapText="1"/>
    </xf>
    <xf numFmtId="0" fontId="13" fillId="0" borderId="5" xfId="0" quotePrefix="1" applyFont="1" applyBorder="1" applyAlignment="1">
      <alignment horizontal="center" vertical="center" wrapText="1"/>
    </xf>
    <xf numFmtId="0" fontId="13" fillId="0" borderId="7" xfId="0" applyFont="1" applyBorder="1" applyAlignment="1">
      <alignment horizontal="center" vertical="center" wrapText="1"/>
    </xf>
    <xf numFmtId="0" fontId="13" fillId="0" borderId="6" xfId="0" applyFont="1" applyBorder="1" applyAlignment="1">
      <alignment horizontal="center" vertical="center" wrapText="1"/>
    </xf>
    <xf numFmtId="0" fontId="6" fillId="0" borderId="5" xfId="0" applyFont="1" applyBorder="1" applyAlignment="1">
      <alignment horizontal="center" vertical="center" wrapText="1"/>
    </xf>
    <xf numFmtId="0" fontId="6" fillId="0" borderId="7" xfId="0" applyFont="1" applyBorder="1" applyAlignment="1">
      <alignment horizontal="center" vertical="center" wrapText="1"/>
    </xf>
    <xf numFmtId="0" fontId="6" fillId="0" borderId="6" xfId="0" applyFont="1" applyBorder="1" applyAlignment="1">
      <alignment horizontal="center" vertical="center" wrapText="1"/>
    </xf>
    <xf numFmtId="0" fontId="6" fillId="2" borderId="6" xfId="0" applyFont="1" applyFill="1" applyBorder="1" applyAlignment="1">
      <alignment horizontal="center" vertical="center" wrapText="1"/>
    </xf>
    <xf numFmtId="0" fontId="7" fillId="4" borderId="0" xfId="0" applyFont="1" applyFill="1" applyAlignment="1">
      <alignment horizontal="left"/>
    </xf>
    <xf numFmtId="0" fontId="8" fillId="2" borderId="1" xfId="0" applyFont="1" applyFill="1" applyBorder="1" applyAlignment="1">
      <alignment horizontal="left" vertical="center" wrapText="1"/>
    </xf>
    <xf numFmtId="0" fontId="10" fillId="2" borderId="1" xfId="0" applyFont="1" applyFill="1" applyBorder="1" applyAlignment="1">
      <alignment horizontal="center" vertical="center" wrapText="1"/>
    </xf>
    <xf numFmtId="0" fontId="9" fillId="0" borderId="1" xfId="0" applyFont="1" applyBorder="1" applyAlignment="1">
      <alignment horizontal="left" vertical="top"/>
    </xf>
    <xf numFmtId="0" fontId="11" fillId="2" borderId="1" xfId="0" applyFont="1" applyFill="1" applyBorder="1" applyAlignment="1">
      <alignment horizontal="center" vertical="center" wrapText="1"/>
    </xf>
    <xf numFmtId="0" fontId="44" fillId="5" borderId="2" xfId="0" applyFont="1" applyFill="1" applyBorder="1" applyAlignment="1">
      <alignment horizontal="left" vertical="center" wrapText="1"/>
    </xf>
    <xf numFmtId="0" fontId="6" fillId="5" borderId="4" xfId="0" applyFont="1" applyFill="1" applyBorder="1" applyAlignment="1">
      <alignment horizontal="left" vertical="center" wrapText="1"/>
    </xf>
    <xf numFmtId="0" fontId="6" fillId="5" borderId="3" xfId="0" applyFont="1" applyFill="1" applyBorder="1" applyAlignment="1">
      <alignment horizontal="left" vertical="center" wrapText="1"/>
    </xf>
    <xf numFmtId="0" fontId="44" fillId="5" borderId="1" xfId="0" applyFont="1" applyFill="1" applyBorder="1" applyAlignment="1">
      <alignment horizontal="left" vertical="center" wrapText="1"/>
    </xf>
    <xf numFmtId="0" fontId="6" fillId="5" borderId="1" xfId="0" applyFont="1" applyFill="1" applyBorder="1" applyAlignment="1">
      <alignment horizontal="left" vertical="center" wrapText="1"/>
    </xf>
    <xf numFmtId="14" fontId="6" fillId="5" borderId="1" xfId="0" applyNumberFormat="1" applyFont="1" applyFill="1" applyBorder="1" applyAlignment="1">
      <alignment horizontal="left" vertical="center" wrapText="1"/>
    </xf>
    <xf numFmtId="0" fontId="6" fillId="0" borderId="1" xfId="0" applyFont="1" applyBorder="1" applyAlignment="1">
      <alignment horizontal="left" vertical="center"/>
    </xf>
    <xf numFmtId="0" fontId="6" fillId="7" borderId="1" xfId="0" applyFont="1" applyFill="1" applyBorder="1" applyAlignment="1">
      <alignment horizontal="left" vertical="center" wrapText="1"/>
    </xf>
    <xf numFmtId="15" fontId="6" fillId="7" borderId="1" xfId="0" applyNumberFormat="1" applyFont="1" applyFill="1" applyBorder="1" applyAlignment="1">
      <alignment horizontal="left" vertical="center" wrapText="1"/>
    </xf>
    <xf numFmtId="0" fontId="12" fillId="5" borderId="0" xfId="0" applyFont="1" applyFill="1" applyAlignment="1">
      <alignment horizontal="left" vertical="center" wrapText="1"/>
    </xf>
    <xf numFmtId="0" fontId="11" fillId="0" borderId="0" xfId="0" applyFont="1" applyAlignment="1">
      <alignment horizontal="left" wrapText="1"/>
    </xf>
    <xf numFmtId="0" fontId="11" fillId="0" borderId="0" xfId="0" applyFont="1" applyAlignment="1">
      <alignment horizontal="center" wrapText="1"/>
    </xf>
    <xf numFmtId="0" fontId="8" fillId="0" borderId="2" xfId="0" applyFont="1" applyBorder="1" applyAlignment="1">
      <alignment horizontal="left" vertical="center" wrapText="1"/>
    </xf>
    <xf numFmtId="0" fontId="8" fillId="0" borderId="4" xfId="0" applyFont="1" applyBorder="1" applyAlignment="1">
      <alignment horizontal="left" vertical="center" wrapText="1"/>
    </xf>
    <xf numFmtId="0" fontId="8" fillId="0" borderId="3" xfId="0" applyFont="1" applyBorder="1" applyAlignment="1">
      <alignment horizontal="left" vertical="center" wrapText="1"/>
    </xf>
    <xf numFmtId="0" fontId="3" fillId="3" borderId="1" xfId="0" applyFont="1" applyFill="1" applyBorder="1" applyAlignment="1">
      <alignment horizontal="left" vertical="center" wrapText="1"/>
    </xf>
  </cellXfs>
  <cellStyles count="2">
    <cellStyle name="Normal" xfId="0" builtinId="0"/>
    <cellStyle name="Normal 2" xfId="1" xr:uid="{00000000-0005-0000-0000-00003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www.wps.cn/officeDocument/2023/relationships/customStorage" Target="customStorage/customStorage.xml"/></Relationships>
</file>

<file path=xl/customStorage/customStorage.xml><?xml version="1.0" encoding="utf-8"?>
<customStorage xmlns="https://web.wps.cn/et/2018/main">
  <book/>
  <sheets/>
</customStorage>
</file>

<file path=xl/drawings/_rels/drawing1.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jpeg"/></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jpeg"/></Relationships>
</file>

<file path=xl/drawings/_rels/drawing3.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jpeg"/><Relationship Id="rId4" Type="http://schemas.openxmlformats.org/officeDocument/2006/relationships/image" Target="../media/image10.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35</xdr:row>
      <xdr:rowOff>139065</xdr:rowOff>
    </xdr:from>
    <xdr:to>
      <xdr:col>1</xdr:col>
      <xdr:colOff>990600</xdr:colOff>
      <xdr:row>35</xdr:row>
      <xdr:rowOff>1142549</xdr:rowOff>
    </xdr:to>
    <xdr:pic>
      <xdr:nvPicPr>
        <xdr:cNvPr id="2049" name="Picture 1">
          <a:extLst>
            <a:ext uri="{FF2B5EF4-FFF2-40B4-BE49-F238E27FC236}">
              <a16:creationId xmlns:a16="http://schemas.microsoft.com/office/drawing/2014/main" id="{00000000-0008-0000-0200-000001080000}"/>
            </a:ext>
          </a:extLst>
        </xdr:cNvPr>
        <xdr:cNvPicPr>
          <a:picLocks noChangeAspect="1" noChangeArrowheads="1"/>
        </xdr:cNvPicPr>
      </xdr:nvPicPr>
      <xdr:blipFill>
        <a:blip xmlns:r="http://schemas.openxmlformats.org/officeDocument/2006/relationships" r:embed="rId1" cstate="print"/>
        <a:srcRect/>
        <a:stretch>
          <a:fillRect/>
        </a:stretch>
      </xdr:blipFill>
      <xdr:spPr>
        <a:xfrm>
          <a:off x="2642235" y="11505565"/>
          <a:ext cx="895350" cy="1003300"/>
        </a:xfrm>
        <a:prstGeom prst="rect">
          <a:avLst/>
        </a:prstGeom>
        <a:noFill/>
        <a:ln w="1">
          <a:noFill/>
          <a:miter lim="800000"/>
          <a:headEnd/>
          <a:tailEnd type="none" w="med" len="med"/>
        </a:ln>
        <a:effectLst/>
      </xdr:spPr>
    </xdr:pic>
    <xdr:clientData/>
  </xdr:twoCellAnchor>
  <xdr:twoCellAnchor editAs="oneCell">
    <xdr:from>
      <xdr:col>3</xdr:col>
      <xdr:colOff>1238250</xdr:colOff>
      <xdr:row>35</xdr:row>
      <xdr:rowOff>190501</xdr:rowOff>
    </xdr:from>
    <xdr:to>
      <xdr:col>4</xdr:col>
      <xdr:colOff>962025</xdr:colOff>
      <xdr:row>35</xdr:row>
      <xdr:rowOff>1172813</xdr:rowOff>
    </xdr:to>
    <xdr:pic>
      <xdr:nvPicPr>
        <xdr:cNvPr id="2050" name="Picture 2">
          <a:extLst>
            <a:ext uri="{FF2B5EF4-FFF2-40B4-BE49-F238E27FC236}">
              <a16:creationId xmlns:a16="http://schemas.microsoft.com/office/drawing/2014/main" id="{00000000-0008-0000-0200-000002080000}"/>
            </a:ext>
          </a:extLst>
        </xdr:cNvPr>
        <xdr:cNvPicPr>
          <a:picLocks noChangeAspect="1" noChangeArrowheads="1"/>
        </xdr:cNvPicPr>
      </xdr:nvPicPr>
      <xdr:blipFill>
        <a:blip xmlns:r="http://schemas.openxmlformats.org/officeDocument/2006/relationships" r:embed="rId2" cstate="print"/>
        <a:srcRect/>
        <a:stretch>
          <a:fillRect/>
        </a:stretch>
      </xdr:blipFill>
      <xdr:spPr>
        <a:xfrm>
          <a:off x="6264275" y="11557000"/>
          <a:ext cx="962025" cy="981710"/>
        </a:xfrm>
        <a:prstGeom prst="rect">
          <a:avLst/>
        </a:prstGeom>
        <a:noFill/>
        <a:ln w="1">
          <a:noFill/>
          <a:miter lim="800000"/>
          <a:headEnd/>
          <a:tailEnd type="none" w="med" len="med"/>
        </a:ln>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590550</xdr:colOff>
      <xdr:row>19</xdr:row>
      <xdr:rowOff>38101</xdr:rowOff>
    </xdr:from>
    <xdr:to>
      <xdr:col>3</xdr:col>
      <xdr:colOff>628650</xdr:colOff>
      <xdr:row>20</xdr:row>
      <xdr:rowOff>285751</xdr:rowOff>
    </xdr:to>
    <xdr:pic>
      <xdr:nvPicPr>
        <xdr:cNvPr id="5" name="Picture 4">
          <a:extLst>
            <a:ext uri="{FF2B5EF4-FFF2-40B4-BE49-F238E27FC236}">
              <a16:creationId xmlns:a16="http://schemas.microsoft.com/office/drawing/2014/main" id="{00000000-0008-0000-03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3137535" y="5471160"/>
          <a:ext cx="2805430"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xdr:colOff>
      <xdr:row>31</xdr:row>
      <xdr:rowOff>25400</xdr:rowOff>
    </xdr:from>
    <xdr:to>
      <xdr:col>3</xdr:col>
      <xdr:colOff>438151</xdr:colOff>
      <xdr:row>44</xdr:row>
      <xdr:rowOff>178182</xdr:rowOff>
    </xdr:to>
    <xdr:pic>
      <xdr:nvPicPr>
        <xdr:cNvPr id="9" name="Picture 8">
          <a:extLst>
            <a:ext uri="{FF2B5EF4-FFF2-40B4-BE49-F238E27FC236}">
              <a16:creationId xmlns:a16="http://schemas.microsoft.com/office/drawing/2014/main" id="{D0DCE8B1-8502-3ED4-CBD3-A93338ADAE25}"/>
            </a:ext>
          </a:extLst>
        </xdr:cNvPr>
        <xdr:cNvPicPr>
          <a:picLocks noChangeAspect="1"/>
        </xdr:cNvPicPr>
      </xdr:nvPicPr>
      <xdr:blipFill>
        <a:blip xmlns:r="http://schemas.openxmlformats.org/officeDocument/2006/relationships" r:embed="rId2"/>
        <a:stretch>
          <a:fillRect/>
        </a:stretch>
      </xdr:blipFill>
      <xdr:spPr>
        <a:xfrm>
          <a:off x="1" y="9036050"/>
          <a:ext cx="5657850" cy="2546732"/>
        </a:xfrm>
        <a:prstGeom prst="rect">
          <a:avLst/>
        </a:prstGeom>
      </xdr:spPr>
    </xdr:pic>
    <xdr:clientData/>
  </xdr:twoCellAnchor>
  <xdr:twoCellAnchor editAs="oneCell">
    <xdr:from>
      <xdr:col>4</xdr:col>
      <xdr:colOff>76201</xdr:colOff>
      <xdr:row>31</xdr:row>
      <xdr:rowOff>6350</xdr:rowOff>
    </xdr:from>
    <xdr:to>
      <xdr:col>12</xdr:col>
      <xdr:colOff>194063</xdr:colOff>
      <xdr:row>44</xdr:row>
      <xdr:rowOff>45075</xdr:rowOff>
    </xdr:to>
    <xdr:pic>
      <xdr:nvPicPr>
        <xdr:cNvPr id="10" name="Picture 9">
          <a:extLst>
            <a:ext uri="{FF2B5EF4-FFF2-40B4-BE49-F238E27FC236}">
              <a16:creationId xmlns:a16="http://schemas.microsoft.com/office/drawing/2014/main" id="{15B2C58E-8D93-2DE5-030E-F8F6FA18DCDB}"/>
            </a:ext>
          </a:extLst>
        </xdr:cNvPr>
        <xdr:cNvPicPr>
          <a:picLocks noChangeAspect="1"/>
        </xdr:cNvPicPr>
      </xdr:nvPicPr>
      <xdr:blipFill>
        <a:blip xmlns:r="http://schemas.openxmlformats.org/officeDocument/2006/relationships" r:embed="rId3"/>
        <a:stretch>
          <a:fillRect/>
        </a:stretch>
      </xdr:blipFill>
      <xdr:spPr>
        <a:xfrm>
          <a:off x="6565901" y="9017000"/>
          <a:ext cx="6086862" cy="24326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47625</xdr:colOff>
      <xdr:row>18</xdr:row>
      <xdr:rowOff>28575</xdr:rowOff>
    </xdr:from>
    <xdr:to>
      <xdr:col>1</xdr:col>
      <xdr:colOff>510540</xdr:colOff>
      <xdr:row>18</xdr:row>
      <xdr:rowOff>209550</xdr:rowOff>
    </xdr:to>
    <xdr:pic>
      <xdr:nvPicPr>
        <xdr:cNvPr id="5" name="图片 4">
          <a:extLst>
            <a:ext uri="{FF2B5EF4-FFF2-40B4-BE49-F238E27FC236}">
              <a16:creationId xmlns:a16="http://schemas.microsoft.com/office/drawing/2014/main" id="{00000000-0008-0000-0400-000005000000}"/>
            </a:ext>
          </a:extLst>
        </xdr:cNvPr>
        <xdr:cNvPicPr/>
      </xdr:nvPicPr>
      <xdr:blipFill>
        <a:blip xmlns:r="http://schemas.openxmlformats.org/officeDocument/2006/relationships" r:embed="rId1" cstate="print"/>
        <a:srcRect/>
        <a:stretch>
          <a:fillRect/>
        </a:stretch>
      </xdr:blipFill>
      <xdr:spPr>
        <a:xfrm>
          <a:off x="2594610" y="14391005"/>
          <a:ext cx="462915" cy="180975"/>
        </a:xfrm>
        <a:prstGeom prst="rect">
          <a:avLst/>
        </a:prstGeom>
        <a:noFill/>
        <a:ln w="9525">
          <a:noFill/>
          <a:miter lim="800000"/>
          <a:headEnd/>
          <a:tailEnd/>
        </a:ln>
      </xdr:spPr>
    </xdr:pic>
    <xdr:clientData/>
  </xdr:twoCellAnchor>
  <xdr:twoCellAnchor editAs="oneCell">
    <xdr:from>
      <xdr:col>0</xdr:col>
      <xdr:colOff>1333500</xdr:colOff>
      <xdr:row>2</xdr:row>
      <xdr:rowOff>92297</xdr:rowOff>
    </xdr:from>
    <xdr:to>
      <xdr:col>3</xdr:col>
      <xdr:colOff>0</xdr:colOff>
      <xdr:row>3</xdr:row>
      <xdr:rowOff>3902185</xdr:rowOff>
    </xdr:to>
    <xdr:pic>
      <xdr:nvPicPr>
        <xdr:cNvPr id="2049" name="Picture 1">
          <a:extLst>
            <a:ext uri="{FF2B5EF4-FFF2-40B4-BE49-F238E27FC236}">
              <a16:creationId xmlns:a16="http://schemas.microsoft.com/office/drawing/2014/main" id="{00000000-0008-0000-0400-000001080000}"/>
            </a:ext>
          </a:extLst>
        </xdr:cNvPr>
        <xdr:cNvPicPr>
          <a:picLocks noChangeAspect="1" noChangeArrowheads="1"/>
        </xdr:cNvPicPr>
      </xdr:nvPicPr>
      <xdr:blipFill>
        <a:blip xmlns:r="http://schemas.openxmlformats.org/officeDocument/2006/relationships" r:embed="rId2"/>
        <a:srcRect/>
        <a:stretch>
          <a:fillRect/>
        </a:stretch>
      </xdr:blipFill>
      <xdr:spPr>
        <a:xfrm>
          <a:off x="1333500" y="790575"/>
          <a:ext cx="3715385" cy="4127500"/>
        </a:xfrm>
        <a:prstGeom prst="rect">
          <a:avLst/>
        </a:prstGeom>
        <a:noFill/>
        <a:ln w="1">
          <a:noFill/>
          <a:miter lim="800000"/>
          <a:headEnd/>
          <a:tailEnd type="none" w="med" len="med"/>
        </a:ln>
        <a:effectLst/>
      </xdr:spPr>
    </xdr:pic>
    <xdr:clientData/>
  </xdr:twoCellAnchor>
  <xdr:twoCellAnchor editAs="oneCell">
    <xdr:from>
      <xdr:col>0</xdr:col>
      <xdr:colOff>1</xdr:colOff>
      <xdr:row>9</xdr:row>
      <xdr:rowOff>0</xdr:rowOff>
    </xdr:from>
    <xdr:to>
      <xdr:col>0</xdr:col>
      <xdr:colOff>2127250</xdr:colOff>
      <xdr:row>11</xdr:row>
      <xdr:rowOff>1183827</xdr:rowOff>
    </xdr:to>
    <xdr:pic>
      <xdr:nvPicPr>
        <xdr:cNvPr id="2" name="Picture 1">
          <a:extLst>
            <a:ext uri="{FF2B5EF4-FFF2-40B4-BE49-F238E27FC236}">
              <a16:creationId xmlns:a16="http://schemas.microsoft.com/office/drawing/2014/main" id="{69070169-330E-C355-DAC5-9C557E275AB0}"/>
            </a:ext>
          </a:extLst>
        </xdr:cNvPr>
        <xdr:cNvPicPr>
          <a:picLocks noChangeAspect="1"/>
        </xdr:cNvPicPr>
      </xdr:nvPicPr>
      <xdr:blipFill>
        <a:blip xmlns:r="http://schemas.openxmlformats.org/officeDocument/2006/relationships" r:embed="rId3"/>
        <a:stretch>
          <a:fillRect/>
        </a:stretch>
      </xdr:blipFill>
      <xdr:spPr>
        <a:xfrm>
          <a:off x="1" y="7010400"/>
          <a:ext cx="2127249" cy="3488877"/>
        </a:xfrm>
        <a:prstGeom prst="rect">
          <a:avLst/>
        </a:prstGeom>
      </xdr:spPr>
    </xdr:pic>
    <xdr:clientData/>
  </xdr:twoCellAnchor>
  <xdr:twoCellAnchor editAs="oneCell">
    <xdr:from>
      <xdr:col>2</xdr:col>
      <xdr:colOff>482600</xdr:colOff>
      <xdr:row>9</xdr:row>
      <xdr:rowOff>488258</xdr:rowOff>
    </xdr:from>
    <xdr:to>
      <xdr:col>10</xdr:col>
      <xdr:colOff>34741</xdr:colOff>
      <xdr:row>11</xdr:row>
      <xdr:rowOff>721735</xdr:rowOff>
    </xdr:to>
    <xdr:pic>
      <xdr:nvPicPr>
        <xdr:cNvPr id="3" name="Picture 2">
          <a:extLst>
            <a:ext uri="{FF2B5EF4-FFF2-40B4-BE49-F238E27FC236}">
              <a16:creationId xmlns:a16="http://schemas.microsoft.com/office/drawing/2014/main" id="{E2D0329A-DC63-4294-CBED-61EC597C270B}"/>
            </a:ext>
          </a:extLst>
        </xdr:cNvPr>
        <xdr:cNvPicPr>
          <a:picLocks noChangeAspect="1"/>
        </xdr:cNvPicPr>
      </xdr:nvPicPr>
      <xdr:blipFill>
        <a:blip xmlns:r="http://schemas.openxmlformats.org/officeDocument/2006/relationships" r:embed="rId4"/>
        <a:stretch>
          <a:fillRect/>
        </a:stretch>
      </xdr:blipFill>
      <xdr:spPr>
        <a:xfrm>
          <a:off x="4343400" y="7498658"/>
          <a:ext cx="6759391" cy="253852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F36"/>
  <sheetViews>
    <sheetView tabSelected="1" zoomScale="85" zoomScaleNormal="85" workbookViewId="0">
      <selection activeCell="F3" sqref="F3"/>
    </sheetView>
  </sheetViews>
  <sheetFormatPr defaultColWidth="9.140625" defaultRowHeight="15"/>
  <cols>
    <col min="1" max="1" width="39.5703125" style="9" customWidth="1"/>
    <col min="2" max="2" width="11.140625" style="9" customWidth="1"/>
    <col min="3" max="3" width="17.5703125" style="9" customWidth="1"/>
    <col min="4" max="4" width="15.5703125" style="9" customWidth="1"/>
    <col min="5" max="5" width="8.5703125" style="9" customWidth="1"/>
    <col min="6" max="6" width="26.140625" style="9" customWidth="1"/>
    <col min="7" max="16384" width="9.140625" style="9"/>
  </cols>
  <sheetData>
    <row r="1" spans="1:6" ht="30" customHeight="1">
      <c r="A1" s="13" t="s">
        <v>0</v>
      </c>
    </row>
    <row r="2" spans="1:6" ht="24.95" customHeight="1">
      <c r="A2" s="88" t="s">
        <v>1</v>
      </c>
      <c r="B2" s="107" t="s">
        <v>2</v>
      </c>
      <c r="C2" s="107"/>
      <c r="D2" s="107"/>
      <c r="E2" s="107"/>
      <c r="F2" s="45"/>
    </row>
    <row r="3" spans="1:6" ht="24.95" customHeight="1">
      <c r="A3" s="89" t="s">
        <v>3</v>
      </c>
      <c r="B3" s="107" t="s">
        <v>4</v>
      </c>
      <c r="C3" s="107"/>
      <c r="D3" s="107"/>
      <c r="E3" s="107"/>
    </row>
    <row r="4" spans="1:6" ht="24.95" customHeight="1">
      <c r="A4" s="89" t="s">
        <v>5</v>
      </c>
      <c r="B4" s="107" t="s">
        <v>6</v>
      </c>
      <c r="C4" s="107"/>
      <c r="D4" s="107"/>
      <c r="E4" s="107"/>
    </row>
    <row r="5" spans="1:6" ht="24.95" customHeight="1">
      <c r="A5" s="89" t="s">
        <v>7</v>
      </c>
      <c r="B5" s="108" t="s">
        <v>295</v>
      </c>
      <c r="C5" s="109"/>
      <c r="D5" s="109"/>
      <c r="E5" s="110"/>
    </row>
    <row r="6" spans="1:6" ht="24.95" customHeight="1">
      <c r="A6" s="89" t="s">
        <v>8</v>
      </c>
      <c r="B6" s="107" t="s">
        <v>9</v>
      </c>
      <c r="C6" s="107"/>
      <c r="D6" s="107"/>
      <c r="E6" s="107"/>
    </row>
    <row r="7" spans="1:6" ht="24.95" customHeight="1">
      <c r="A7" s="89" t="s">
        <v>10</v>
      </c>
      <c r="B7" s="107" t="s">
        <v>11</v>
      </c>
      <c r="C7" s="107"/>
      <c r="D7" s="107"/>
      <c r="E7" s="107"/>
    </row>
    <row r="8" spans="1:6" ht="24.95" customHeight="1">
      <c r="A8" s="89" t="s">
        <v>12</v>
      </c>
      <c r="B8" s="107" t="s">
        <v>13</v>
      </c>
      <c r="C8" s="107"/>
      <c r="D8" s="107"/>
      <c r="E8" s="107"/>
    </row>
    <row r="9" spans="1:6" ht="30" customHeight="1">
      <c r="A9" s="111" t="s">
        <v>14</v>
      </c>
      <c r="B9" s="111"/>
      <c r="C9" s="63"/>
    </row>
    <row r="10" spans="1:6" ht="30" customHeight="1">
      <c r="A10" s="94" t="s">
        <v>15</v>
      </c>
      <c r="B10" s="95" t="s">
        <v>112</v>
      </c>
    </row>
    <row r="11" spans="1:6" ht="24.95" customHeight="1">
      <c r="A11" s="96" t="s">
        <v>285</v>
      </c>
      <c r="B11" s="97" t="s">
        <v>112</v>
      </c>
    </row>
    <row r="12" spans="1:6" ht="24.95" customHeight="1">
      <c r="A12" s="98" t="s">
        <v>17</v>
      </c>
      <c r="B12" s="11" t="s">
        <v>13</v>
      </c>
    </row>
    <row r="13" spans="1:6" ht="24.95" customHeight="1">
      <c r="A13" s="98" t="s">
        <v>18</v>
      </c>
      <c r="B13" s="97" t="s">
        <v>286</v>
      </c>
    </row>
    <row r="14" spans="1:6" ht="24.95" customHeight="1">
      <c r="A14" s="99" t="s">
        <v>287</v>
      </c>
      <c r="B14" s="97" t="s">
        <v>16</v>
      </c>
    </row>
    <row r="15" spans="1:6" ht="24.95" customHeight="1">
      <c r="A15" s="96" t="s">
        <v>288</v>
      </c>
      <c r="B15" s="97" t="s">
        <v>289</v>
      </c>
    </row>
    <row r="16" spans="1:6" ht="24.95" customHeight="1">
      <c r="A16" s="98" t="s">
        <v>19</v>
      </c>
      <c r="B16" s="97" t="s">
        <v>16</v>
      </c>
    </row>
    <row r="17" spans="1:4" ht="24.95" customHeight="1">
      <c r="A17" s="98" t="s">
        <v>20</v>
      </c>
      <c r="B17" s="97" t="s">
        <v>16</v>
      </c>
    </row>
    <row r="18" spans="1:4" ht="24.95" customHeight="1">
      <c r="A18" s="98" t="s">
        <v>21</v>
      </c>
      <c r="B18" s="97" t="s">
        <v>286</v>
      </c>
    </row>
    <row r="19" spans="1:4" ht="35.25" customHeight="1">
      <c r="A19" s="98" t="s">
        <v>22</v>
      </c>
      <c r="B19" s="18" t="s">
        <v>23</v>
      </c>
    </row>
    <row r="20" spans="1:4" ht="30" customHeight="1">
      <c r="A20" s="13" t="s">
        <v>24</v>
      </c>
      <c r="B20" s="13"/>
      <c r="C20" s="13"/>
    </row>
    <row r="21" spans="1:4" ht="24.95" customHeight="1">
      <c r="A21" s="91" t="s">
        <v>25</v>
      </c>
      <c r="B21" s="10" t="s">
        <v>16</v>
      </c>
    </row>
    <row r="22" spans="1:4" ht="24.95" customHeight="1">
      <c r="A22" s="90" t="s">
        <v>26</v>
      </c>
      <c r="B22" s="93" t="s">
        <v>16</v>
      </c>
      <c r="C22" s="40" t="s">
        <v>27</v>
      </c>
    </row>
    <row r="23" spans="1:4" ht="24.95" customHeight="1">
      <c r="A23" s="90" t="s">
        <v>28</v>
      </c>
      <c r="B23" s="93" t="s">
        <v>16</v>
      </c>
      <c r="C23" s="40" t="s">
        <v>29</v>
      </c>
    </row>
    <row r="24" spans="1:4" ht="24.95" customHeight="1">
      <c r="A24" s="90" t="s">
        <v>30</v>
      </c>
      <c r="B24" s="15" t="s">
        <v>16</v>
      </c>
      <c r="C24" s="40"/>
    </row>
    <row r="25" spans="1:4" s="8" customFormat="1" ht="30" customHeight="1">
      <c r="A25" s="112" t="s">
        <v>31</v>
      </c>
      <c r="B25" s="112"/>
      <c r="C25" s="112"/>
    </row>
    <row r="26" spans="1:4" ht="36.75" customHeight="1">
      <c r="A26" s="113" t="s">
        <v>32</v>
      </c>
      <c r="B26" s="113"/>
      <c r="C26" s="114" t="s">
        <v>33</v>
      </c>
      <c r="D26" s="115"/>
    </row>
    <row r="27" spans="1:4" ht="24.95" customHeight="1">
      <c r="A27" s="113" t="s">
        <v>34</v>
      </c>
      <c r="B27" s="113"/>
      <c r="C27" s="116" t="s">
        <v>35</v>
      </c>
      <c r="D27" s="117"/>
    </row>
    <row r="28" spans="1:4" ht="15" customHeight="1">
      <c r="A28" s="118"/>
      <c r="B28" s="118"/>
      <c r="C28" s="83" t="s">
        <v>36</v>
      </c>
      <c r="D28" s="37" t="s">
        <v>37</v>
      </c>
    </row>
    <row r="29" spans="1:4" ht="30" customHeight="1">
      <c r="A29" s="113" t="s">
        <v>38</v>
      </c>
      <c r="B29" s="113"/>
      <c r="C29" s="83" t="s">
        <v>39</v>
      </c>
      <c r="D29" s="92" t="s">
        <v>13</v>
      </c>
    </row>
    <row r="30" spans="1:4" ht="24.95" customHeight="1">
      <c r="A30" s="113" t="s">
        <v>40</v>
      </c>
      <c r="B30" s="113" t="s">
        <v>13</v>
      </c>
      <c r="C30" s="92" t="s">
        <v>13</v>
      </c>
      <c r="D30" s="37" t="s">
        <v>13</v>
      </c>
    </row>
    <row r="31" spans="1:4" ht="24.95" customHeight="1">
      <c r="A31" s="113" t="s">
        <v>41</v>
      </c>
      <c r="B31" s="113" t="s">
        <v>13</v>
      </c>
      <c r="C31" s="92" t="s">
        <v>13</v>
      </c>
      <c r="D31" s="37" t="s">
        <v>42</v>
      </c>
    </row>
    <row r="32" spans="1:4" ht="24.95" customHeight="1">
      <c r="A32" s="113" t="s">
        <v>43</v>
      </c>
      <c r="B32" s="113"/>
      <c r="C32" s="119" t="s">
        <v>44</v>
      </c>
      <c r="D32" s="120"/>
    </row>
    <row r="33" spans="1:6" ht="24.95" customHeight="1">
      <c r="A33" s="113" t="s">
        <v>45</v>
      </c>
      <c r="B33" s="113"/>
      <c r="C33" s="119" t="s">
        <v>46</v>
      </c>
      <c r="D33" s="120"/>
    </row>
    <row r="34" spans="1:6" s="8" customFormat="1" ht="30" customHeight="1">
      <c r="A34" s="112" t="s">
        <v>47</v>
      </c>
      <c r="B34" s="112"/>
      <c r="C34" s="112"/>
      <c r="F34" s="9"/>
    </row>
    <row r="35" spans="1:6">
      <c r="A35" s="121" t="s">
        <v>48</v>
      </c>
      <c r="B35" s="122"/>
      <c r="C35" s="122"/>
      <c r="D35" s="122"/>
      <c r="E35" s="123"/>
    </row>
    <row r="36" spans="1:6">
      <c r="A36" s="124"/>
      <c r="B36" s="125"/>
      <c r="C36" s="125"/>
      <c r="D36" s="125"/>
      <c r="E36" s="126"/>
    </row>
  </sheetData>
  <mergeCells count="23">
    <mergeCell ref="C32:D32"/>
    <mergeCell ref="A33:B33"/>
    <mergeCell ref="C33:D33"/>
    <mergeCell ref="A34:C34"/>
    <mergeCell ref="A35:E36"/>
    <mergeCell ref="A28:B28"/>
    <mergeCell ref="A29:B29"/>
    <mergeCell ref="A30:B30"/>
    <mergeCell ref="A31:B31"/>
    <mergeCell ref="A32:B32"/>
    <mergeCell ref="A9:B9"/>
    <mergeCell ref="A25:C25"/>
    <mergeCell ref="A26:B26"/>
    <mergeCell ref="C26:D26"/>
    <mergeCell ref="A27:B27"/>
    <mergeCell ref="C27:D27"/>
    <mergeCell ref="B6:E6"/>
    <mergeCell ref="B7:E7"/>
    <mergeCell ref="B8:E8"/>
    <mergeCell ref="B2:E2"/>
    <mergeCell ref="B3:E3"/>
    <mergeCell ref="B4:E4"/>
    <mergeCell ref="B5:E5"/>
  </mergeCells>
  <pageMargins left="0.39370078740157499" right="0.39370078740157499" top="0.94488188976377996" bottom="0.70866141732283505" header="0.31496062992126" footer="0.31496062992126"/>
  <pageSetup paperSize="9" scale="75" orientation="portrait"/>
  <headerFooter>
    <oddHeader>&amp;C&amp;G</oddHeader>
    <oddFooter>&amp;L&amp;"-,Bold"&amp;10Doc Name: Food Specification   Doc Number: BASIC-18   Version: V04   Issue Date: 11/02/2021Issued By: Ling Hsuan Chiu   Authorised By: Emma Du&amp;R&amp;"-,Bold"&amp;10Confidential&amp;"-,Regular"&amp;D - Page &amp;P of &amp;N</oddFooter>
  </headerFooter>
  <legacyDrawingHF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46"/>
  <sheetViews>
    <sheetView workbookViewId="0">
      <selection activeCell="I6" sqref="I6"/>
    </sheetView>
  </sheetViews>
  <sheetFormatPr defaultColWidth="9.140625" defaultRowHeight="15"/>
  <cols>
    <col min="1" max="1" width="3.5703125" style="9" customWidth="1"/>
    <col min="2" max="2" width="37.140625" style="9" customWidth="1"/>
    <col min="3" max="3" width="12.140625" style="9" customWidth="1"/>
    <col min="4" max="8" width="11.85546875" style="9" customWidth="1"/>
    <col min="9" max="10" width="20.5703125" style="9" customWidth="1"/>
    <col min="11" max="16384" width="9.140625" style="9"/>
  </cols>
  <sheetData>
    <row r="1" spans="1:10" ht="30" customHeight="1">
      <c r="A1" s="13" t="s">
        <v>49</v>
      </c>
      <c r="B1" s="13"/>
      <c r="C1" s="63"/>
    </row>
    <row r="2" spans="1:10" ht="30" customHeight="1">
      <c r="A2" s="127" t="s">
        <v>50</v>
      </c>
      <c r="B2" s="128"/>
      <c r="C2" s="127" t="s">
        <v>51</v>
      </c>
      <c r="D2" s="128"/>
      <c r="E2" s="71" t="s">
        <v>52</v>
      </c>
      <c r="F2" s="127" t="s">
        <v>53</v>
      </c>
      <c r="G2" s="129"/>
      <c r="H2" s="128"/>
      <c r="I2" s="155" t="s">
        <v>54</v>
      </c>
      <c r="J2" s="157" t="s">
        <v>55</v>
      </c>
    </row>
    <row r="3" spans="1:10" ht="35.1" customHeight="1">
      <c r="A3" s="130" t="s">
        <v>56</v>
      </c>
      <c r="B3" s="131"/>
      <c r="C3" s="130" t="s">
        <v>57</v>
      </c>
      <c r="D3" s="131"/>
      <c r="E3" s="72" t="s">
        <v>58</v>
      </c>
      <c r="F3" s="132" t="s">
        <v>59</v>
      </c>
      <c r="G3" s="133"/>
      <c r="H3" s="134"/>
      <c r="I3" s="156"/>
      <c r="J3" s="157"/>
    </row>
    <row r="4" spans="1:10" ht="30" customHeight="1">
      <c r="A4" s="114" t="s">
        <v>60</v>
      </c>
      <c r="B4" s="115"/>
      <c r="C4" s="114"/>
      <c r="D4" s="115"/>
      <c r="E4" s="73">
        <v>0.64</v>
      </c>
      <c r="F4" s="135" t="s">
        <v>9</v>
      </c>
      <c r="G4" s="136"/>
      <c r="H4" s="137"/>
      <c r="I4" s="83" t="s">
        <v>61</v>
      </c>
      <c r="J4" s="84" t="s">
        <v>62</v>
      </c>
    </row>
    <row r="5" spans="1:10" ht="30" customHeight="1">
      <c r="A5" s="114" t="s">
        <v>63</v>
      </c>
      <c r="B5" s="115"/>
      <c r="C5" s="114"/>
      <c r="D5" s="115"/>
      <c r="E5" s="73">
        <v>0.2</v>
      </c>
      <c r="F5" s="138" t="s">
        <v>64</v>
      </c>
      <c r="G5" s="139"/>
      <c r="H5" s="140"/>
      <c r="I5" s="85" t="s">
        <v>61</v>
      </c>
      <c r="J5" s="84" t="s">
        <v>62</v>
      </c>
    </row>
    <row r="6" spans="1:10" ht="37.35" customHeight="1">
      <c r="A6" s="114" t="s">
        <v>65</v>
      </c>
      <c r="B6" s="115"/>
      <c r="C6" s="114"/>
      <c r="D6" s="115"/>
      <c r="E6" s="73">
        <v>0.14699999999999999</v>
      </c>
      <c r="F6" s="138" t="s">
        <v>66</v>
      </c>
      <c r="G6" s="139"/>
      <c r="H6" s="140"/>
      <c r="I6" s="85" t="s">
        <v>67</v>
      </c>
      <c r="J6" s="84" t="s">
        <v>62</v>
      </c>
    </row>
    <row r="7" spans="1:10" ht="30" customHeight="1">
      <c r="A7" s="114" t="s">
        <v>68</v>
      </c>
      <c r="B7" s="115"/>
      <c r="C7" s="114"/>
      <c r="D7" s="115"/>
      <c r="E7" s="73">
        <v>8.0000000000000002E-3</v>
      </c>
      <c r="F7" s="138" t="s">
        <v>69</v>
      </c>
      <c r="G7" s="139"/>
      <c r="H7" s="140"/>
      <c r="I7" s="85" t="s">
        <v>61</v>
      </c>
      <c r="J7" s="84" t="s">
        <v>62</v>
      </c>
    </row>
    <row r="8" spans="1:10" ht="30" customHeight="1">
      <c r="A8" s="114" t="s">
        <v>70</v>
      </c>
      <c r="B8" s="115"/>
      <c r="C8" s="114"/>
      <c r="D8" s="115"/>
      <c r="E8" s="73">
        <v>5.0000000000000001E-3</v>
      </c>
      <c r="F8" s="138" t="s">
        <v>71</v>
      </c>
      <c r="G8" s="139"/>
      <c r="H8" s="140"/>
      <c r="I8" s="85" t="s">
        <v>61</v>
      </c>
      <c r="J8" s="84" t="s">
        <v>62</v>
      </c>
    </row>
    <row r="9" spans="1:10" ht="15" customHeight="1">
      <c r="D9" s="64" t="s">
        <v>72</v>
      </c>
      <c r="E9" s="74">
        <f>SUM(E4:E8)</f>
        <v>1</v>
      </c>
      <c r="F9" s="74"/>
      <c r="G9" s="74"/>
    </row>
    <row r="10" spans="1:10" ht="15" customHeight="1">
      <c r="A10" s="141" t="s">
        <v>73</v>
      </c>
      <c r="B10" s="141"/>
      <c r="C10" s="141"/>
      <c r="D10" s="141"/>
      <c r="E10" s="141"/>
      <c r="F10" s="75" t="s">
        <v>62</v>
      </c>
      <c r="G10" s="74"/>
    </row>
    <row r="11" spans="1:10" ht="15" customHeight="1">
      <c r="A11" s="141" t="s">
        <v>74</v>
      </c>
      <c r="B11" s="141"/>
      <c r="C11" s="141"/>
      <c r="D11" s="141"/>
      <c r="E11" s="141"/>
      <c r="F11" s="75" t="s">
        <v>75</v>
      </c>
      <c r="G11" s="74"/>
    </row>
    <row r="12" spans="1:10" ht="15" customHeight="1">
      <c r="D12" s="64"/>
      <c r="E12" s="74"/>
      <c r="F12" s="74"/>
      <c r="G12" s="74"/>
    </row>
    <row r="13" spans="1:10" ht="25.5" customHeight="1">
      <c r="A13" s="158" t="s">
        <v>76</v>
      </c>
      <c r="B13" s="158"/>
      <c r="C13" s="158"/>
      <c r="D13" s="158"/>
      <c r="E13" s="158"/>
      <c r="F13" s="158"/>
      <c r="G13" s="158"/>
      <c r="H13" s="158"/>
      <c r="I13" s="158"/>
    </row>
    <row r="14" spans="1:10" ht="25.5" customHeight="1">
      <c r="A14" s="158"/>
      <c r="B14" s="158"/>
      <c r="C14" s="158"/>
      <c r="D14" s="158"/>
      <c r="E14" s="158"/>
      <c r="F14" s="158"/>
      <c r="G14" s="158"/>
      <c r="H14" s="158"/>
      <c r="I14" s="158"/>
    </row>
    <row r="15" spans="1:10" ht="30" customHeight="1">
      <c r="A15" s="13" t="s">
        <v>77</v>
      </c>
      <c r="B15" s="65"/>
      <c r="C15" s="66" t="s">
        <v>78</v>
      </c>
    </row>
    <row r="16" spans="1:10" ht="20.100000000000001" customHeight="1">
      <c r="A16" s="146" t="s">
        <v>79</v>
      </c>
      <c r="B16" s="147"/>
      <c r="C16" s="146" t="s">
        <v>80</v>
      </c>
      <c r="D16" s="147"/>
    </row>
    <row r="17" spans="1:11" ht="30.95" customHeight="1">
      <c r="A17" s="148" t="s">
        <v>81</v>
      </c>
      <c r="B17" s="149"/>
      <c r="C17" s="144" t="s">
        <v>82</v>
      </c>
      <c r="D17" s="145"/>
    </row>
    <row r="18" spans="1:11" ht="20.100000000000001" customHeight="1">
      <c r="A18" s="148" t="s">
        <v>83</v>
      </c>
      <c r="B18" s="149"/>
      <c r="C18" s="144" t="s">
        <v>84</v>
      </c>
      <c r="D18" s="145"/>
    </row>
    <row r="19" spans="1:11" ht="20.100000000000001" customHeight="1">
      <c r="A19" s="142" t="s">
        <v>85</v>
      </c>
      <c r="B19" s="143"/>
      <c r="C19" s="144" t="s">
        <v>86</v>
      </c>
      <c r="D19" s="145"/>
    </row>
    <row r="20" spans="1:11" ht="20.100000000000001" customHeight="1">
      <c r="A20" s="142" t="s">
        <v>87</v>
      </c>
      <c r="B20" s="143"/>
      <c r="C20" s="144" t="s">
        <v>88</v>
      </c>
      <c r="D20" s="145"/>
    </row>
    <row r="21" spans="1:11" ht="20.100000000000001" customHeight="1">
      <c r="A21" s="142" t="s">
        <v>89</v>
      </c>
      <c r="B21" s="143"/>
      <c r="C21" s="144" t="s">
        <v>88</v>
      </c>
      <c r="D21" s="145"/>
    </row>
    <row r="22" spans="1:11" ht="20.100000000000001" customHeight="1">
      <c r="A22" s="148" t="s">
        <v>90</v>
      </c>
      <c r="B22" s="149"/>
      <c r="C22" s="144" t="s">
        <v>91</v>
      </c>
      <c r="D22" s="145"/>
    </row>
    <row r="23" spans="1:11" ht="19.5" customHeight="1">
      <c r="A23" s="142" t="s">
        <v>92</v>
      </c>
      <c r="B23" s="143"/>
      <c r="C23" s="144" t="s">
        <v>93</v>
      </c>
      <c r="D23" s="145"/>
      <c r="I23" s="9" t="s">
        <v>94</v>
      </c>
    </row>
    <row r="24" spans="1:11" ht="20.100000000000001" customHeight="1">
      <c r="A24" s="142" t="s">
        <v>95</v>
      </c>
      <c r="B24" s="143"/>
      <c r="C24" s="144" t="s">
        <v>88</v>
      </c>
      <c r="D24" s="145"/>
    </row>
    <row r="25" spans="1:11" ht="20.100000000000001" customHeight="1">
      <c r="A25" s="142" t="s">
        <v>96</v>
      </c>
      <c r="B25" s="143"/>
      <c r="C25" s="144" t="s">
        <v>88</v>
      </c>
      <c r="D25" s="145"/>
    </row>
    <row r="26" spans="1:11" ht="20.100000000000001" customHeight="1">
      <c r="A26" s="148" t="s">
        <v>97</v>
      </c>
      <c r="B26" s="149"/>
      <c r="C26" s="144" t="s">
        <v>88</v>
      </c>
      <c r="D26" s="145"/>
    </row>
    <row r="27" spans="1:11" ht="20.100000000000001" customHeight="1">
      <c r="A27" s="148" t="s">
        <v>98</v>
      </c>
      <c r="B27" s="149"/>
      <c r="C27" s="144" t="s">
        <v>99</v>
      </c>
      <c r="D27" s="145"/>
    </row>
    <row r="28" spans="1:11" ht="20.100000000000001" customHeight="1">
      <c r="A28" s="148" t="s">
        <v>100</v>
      </c>
      <c r="B28" s="149"/>
      <c r="C28" s="144" t="s">
        <v>101</v>
      </c>
      <c r="D28" s="145"/>
      <c r="E28" s="67" t="s">
        <v>102</v>
      </c>
      <c r="F28" s="76"/>
      <c r="G28" s="76"/>
      <c r="H28" s="76"/>
      <c r="I28" s="76"/>
      <c r="J28" s="76"/>
      <c r="K28" s="76"/>
    </row>
    <row r="29" spans="1:11" ht="20.100000000000001" customHeight="1">
      <c r="A29" s="40" t="s">
        <v>103</v>
      </c>
      <c r="B29" s="67"/>
      <c r="C29" s="68"/>
      <c r="E29" s="76"/>
      <c r="F29" s="76"/>
      <c r="G29" s="76"/>
      <c r="H29" s="76"/>
      <c r="I29" s="76"/>
      <c r="J29" s="76"/>
      <c r="K29" s="76"/>
    </row>
    <row r="30" spans="1:11" ht="30" customHeight="1">
      <c r="A30" s="13" t="s">
        <v>104</v>
      </c>
      <c r="B30" s="63"/>
      <c r="C30" s="63"/>
      <c r="D30" s="63"/>
    </row>
    <row r="31" spans="1:11" ht="30" customHeight="1">
      <c r="A31" s="151"/>
      <c r="B31" s="152" t="s">
        <v>105</v>
      </c>
      <c r="C31" s="152"/>
      <c r="D31" s="152"/>
      <c r="E31" s="77" t="s">
        <v>106</v>
      </c>
      <c r="F31" s="152" t="s">
        <v>107</v>
      </c>
      <c r="G31" s="78" t="s">
        <v>108</v>
      </c>
      <c r="H31" s="153" t="s">
        <v>109</v>
      </c>
      <c r="I31" s="153" t="s">
        <v>110</v>
      </c>
      <c r="J31" s="78" t="s">
        <v>111</v>
      </c>
    </row>
    <row r="32" spans="1:11" ht="15" customHeight="1">
      <c r="A32" s="151"/>
      <c r="B32" s="159" t="s">
        <v>25</v>
      </c>
      <c r="C32" s="159"/>
      <c r="D32" s="159"/>
      <c r="E32" s="69" t="s">
        <v>112</v>
      </c>
      <c r="F32" s="152"/>
      <c r="G32" s="69" t="s">
        <v>112</v>
      </c>
      <c r="H32" s="154"/>
      <c r="I32" s="154"/>
      <c r="J32" s="69" t="s">
        <v>112</v>
      </c>
    </row>
    <row r="33" spans="1:10" ht="24.95" customHeight="1">
      <c r="A33" s="70" t="s">
        <v>113</v>
      </c>
      <c r="B33" s="150" t="s">
        <v>114</v>
      </c>
      <c r="C33" s="150"/>
      <c r="D33" s="150"/>
      <c r="E33" s="79" t="s">
        <v>62</v>
      </c>
      <c r="F33" s="80" t="s">
        <v>13</v>
      </c>
      <c r="G33" s="79" t="s">
        <v>16</v>
      </c>
      <c r="H33" s="79" t="s">
        <v>115</v>
      </c>
      <c r="I33" s="86" t="s">
        <v>116</v>
      </c>
      <c r="J33" s="79" t="s">
        <v>62</v>
      </c>
    </row>
    <row r="34" spans="1:10" ht="24.95" customHeight="1">
      <c r="A34" s="70" t="s">
        <v>117</v>
      </c>
      <c r="B34" s="150" t="s">
        <v>118</v>
      </c>
      <c r="C34" s="150"/>
      <c r="D34" s="150"/>
      <c r="E34" s="81" t="s">
        <v>62</v>
      </c>
      <c r="F34" s="82" t="s">
        <v>13</v>
      </c>
      <c r="G34" s="81" t="s">
        <v>62</v>
      </c>
      <c r="H34" s="82" t="s">
        <v>13</v>
      </c>
      <c r="I34" s="82" t="s">
        <v>13</v>
      </c>
      <c r="J34" s="81" t="s">
        <v>62</v>
      </c>
    </row>
    <row r="35" spans="1:10" ht="24.95" customHeight="1">
      <c r="A35" s="70" t="s">
        <v>119</v>
      </c>
      <c r="B35" s="150" t="s">
        <v>120</v>
      </c>
      <c r="C35" s="150"/>
      <c r="D35" s="150"/>
      <c r="E35" s="81" t="s">
        <v>62</v>
      </c>
      <c r="F35" s="82" t="s">
        <v>13</v>
      </c>
      <c r="G35" s="81" t="s">
        <v>62</v>
      </c>
      <c r="H35" s="82" t="s">
        <v>13</v>
      </c>
      <c r="I35" s="82" t="s">
        <v>13</v>
      </c>
      <c r="J35" s="81" t="s">
        <v>62</v>
      </c>
    </row>
    <row r="36" spans="1:10" ht="24.95" customHeight="1">
      <c r="A36" s="70" t="s">
        <v>121</v>
      </c>
      <c r="B36" s="150" t="s">
        <v>122</v>
      </c>
      <c r="C36" s="150"/>
      <c r="D36" s="150"/>
      <c r="E36" s="81" t="s">
        <v>62</v>
      </c>
      <c r="F36" s="82" t="s">
        <v>13</v>
      </c>
      <c r="G36" s="81" t="s">
        <v>62</v>
      </c>
      <c r="H36" s="82" t="s">
        <v>13</v>
      </c>
      <c r="I36" s="82" t="s">
        <v>13</v>
      </c>
      <c r="J36" s="81" t="s">
        <v>62</v>
      </c>
    </row>
    <row r="37" spans="1:10" ht="24.95" customHeight="1">
      <c r="A37" s="70" t="s">
        <v>123</v>
      </c>
      <c r="B37" s="150" t="s">
        <v>124</v>
      </c>
      <c r="C37" s="150"/>
      <c r="D37" s="150"/>
      <c r="E37" s="81" t="s">
        <v>62</v>
      </c>
      <c r="F37" s="82" t="s">
        <v>13</v>
      </c>
      <c r="G37" s="81" t="s">
        <v>62</v>
      </c>
      <c r="H37" s="82" t="s">
        <v>13</v>
      </c>
      <c r="I37" s="82" t="s">
        <v>13</v>
      </c>
      <c r="J37" s="81" t="s">
        <v>62</v>
      </c>
    </row>
    <row r="38" spans="1:10" ht="24.95" customHeight="1">
      <c r="A38" s="70" t="s">
        <v>125</v>
      </c>
      <c r="B38" s="150" t="s">
        <v>126</v>
      </c>
      <c r="C38" s="150"/>
      <c r="D38" s="150"/>
      <c r="E38" s="79" t="s">
        <v>62</v>
      </c>
      <c r="F38" s="80" t="s">
        <v>13</v>
      </c>
      <c r="G38" s="79" t="s">
        <v>16</v>
      </c>
      <c r="H38" s="79" t="s">
        <v>115</v>
      </c>
      <c r="I38" s="86" t="s">
        <v>116</v>
      </c>
      <c r="J38" s="79" t="s">
        <v>62</v>
      </c>
    </row>
    <row r="39" spans="1:10" ht="24.95" customHeight="1">
      <c r="A39" s="70" t="s">
        <v>127</v>
      </c>
      <c r="B39" s="150" t="s">
        <v>128</v>
      </c>
      <c r="C39" s="150"/>
      <c r="D39" s="150"/>
      <c r="E39" s="79" t="s">
        <v>62</v>
      </c>
      <c r="F39" s="80" t="s">
        <v>13</v>
      </c>
      <c r="G39" s="79" t="s">
        <v>16</v>
      </c>
      <c r="H39" s="79" t="s">
        <v>129</v>
      </c>
      <c r="I39" s="86" t="s">
        <v>116</v>
      </c>
      <c r="J39" s="79" t="s">
        <v>62</v>
      </c>
    </row>
    <row r="40" spans="1:10" ht="24.95" customHeight="1">
      <c r="A40" s="70" t="s">
        <v>130</v>
      </c>
      <c r="B40" s="150" t="s">
        <v>131</v>
      </c>
      <c r="C40" s="150"/>
      <c r="D40" s="150"/>
      <c r="E40" s="81" t="s">
        <v>62</v>
      </c>
      <c r="F40" s="82" t="s">
        <v>13</v>
      </c>
      <c r="G40" s="81" t="s">
        <v>62</v>
      </c>
      <c r="H40" s="82" t="s">
        <v>13</v>
      </c>
      <c r="I40" s="82" t="s">
        <v>13</v>
      </c>
      <c r="J40" s="81" t="s">
        <v>62</v>
      </c>
    </row>
    <row r="41" spans="1:10" ht="24.95" customHeight="1">
      <c r="A41" s="70" t="s">
        <v>132</v>
      </c>
      <c r="B41" s="150" t="s">
        <v>133</v>
      </c>
      <c r="C41" s="150"/>
      <c r="D41" s="150"/>
      <c r="E41" s="81" t="s">
        <v>62</v>
      </c>
      <c r="F41" s="82" t="s">
        <v>13</v>
      </c>
      <c r="G41" s="81" t="s">
        <v>16</v>
      </c>
      <c r="H41" s="82" t="s">
        <v>134</v>
      </c>
      <c r="I41" s="87" t="s">
        <v>116</v>
      </c>
      <c r="J41" s="81" t="s">
        <v>62</v>
      </c>
    </row>
    <row r="42" spans="1:10" ht="24.95" customHeight="1">
      <c r="A42" s="70" t="s">
        <v>135</v>
      </c>
      <c r="B42" s="150" t="s">
        <v>136</v>
      </c>
      <c r="C42" s="150"/>
      <c r="D42" s="150"/>
      <c r="E42" s="79" t="s">
        <v>16</v>
      </c>
      <c r="F42" s="79" t="s">
        <v>65</v>
      </c>
      <c r="G42" s="79" t="s">
        <v>16</v>
      </c>
      <c r="H42" s="79" t="s">
        <v>65</v>
      </c>
      <c r="I42" s="79" t="s">
        <v>137</v>
      </c>
      <c r="J42" s="79" t="s">
        <v>137</v>
      </c>
    </row>
    <row r="43" spans="1:10" ht="24.95" customHeight="1">
      <c r="A43" s="70" t="s">
        <v>138</v>
      </c>
      <c r="B43" s="150" t="s">
        <v>139</v>
      </c>
      <c r="C43" s="150"/>
      <c r="D43" s="150"/>
      <c r="E43" s="81" t="s">
        <v>62</v>
      </c>
      <c r="F43" s="82" t="s">
        <v>13</v>
      </c>
      <c r="G43" s="81" t="s">
        <v>62</v>
      </c>
      <c r="H43" s="82" t="s">
        <v>13</v>
      </c>
      <c r="I43" s="82" t="s">
        <v>13</v>
      </c>
      <c r="J43" s="81" t="s">
        <v>62</v>
      </c>
    </row>
    <row r="44" spans="1:10" ht="24.95" customHeight="1">
      <c r="A44" s="70" t="s">
        <v>140</v>
      </c>
      <c r="B44" s="150" t="s">
        <v>141</v>
      </c>
      <c r="C44" s="150"/>
      <c r="D44" s="150"/>
      <c r="E44" s="81" t="s">
        <v>62</v>
      </c>
      <c r="F44" s="82" t="s">
        <v>13</v>
      </c>
      <c r="G44" s="81" t="s">
        <v>62</v>
      </c>
      <c r="H44" s="82" t="s">
        <v>13</v>
      </c>
      <c r="I44" s="82" t="s">
        <v>13</v>
      </c>
      <c r="J44" s="81" t="s">
        <v>62</v>
      </c>
    </row>
    <row r="45" spans="1:10" ht="24.95" customHeight="1">
      <c r="A45" s="70" t="s">
        <v>142</v>
      </c>
      <c r="B45" s="150" t="s">
        <v>143</v>
      </c>
      <c r="C45" s="150"/>
      <c r="D45" s="150"/>
      <c r="E45" s="81" t="s">
        <v>62</v>
      </c>
      <c r="F45" s="82" t="s">
        <v>13</v>
      </c>
      <c r="G45" s="81" t="s">
        <v>62</v>
      </c>
      <c r="H45" s="82" t="s">
        <v>13</v>
      </c>
      <c r="I45" s="82" t="s">
        <v>13</v>
      </c>
      <c r="J45" s="81" t="s">
        <v>62</v>
      </c>
    </row>
    <row r="46" spans="1:10" ht="24.95" customHeight="1">
      <c r="A46" s="70" t="s">
        <v>144</v>
      </c>
      <c r="B46" s="150" t="s">
        <v>145</v>
      </c>
      <c r="C46" s="150"/>
      <c r="D46" s="150"/>
      <c r="E46" s="81" t="s">
        <v>62</v>
      </c>
      <c r="F46" s="82" t="s">
        <v>13</v>
      </c>
      <c r="G46" s="81" t="s">
        <v>62</v>
      </c>
      <c r="H46" s="82" t="s">
        <v>13</v>
      </c>
      <c r="I46" s="82" t="s">
        <v>13</v>
      </c>
      <c r="J46" s="81" t="s">
        <v>62</v>
      </c>
    </row>
  </sheetData>
  <mergeCells count="72">
    <mergeCell ref="H31:H32"/>
    <mergeCell ref="I2:I3"/>
    <mergeCell ref="I31:I32"/>
    <mergeCell ref="J2:J3"/>
    <mergeCell ref="A13:I14"/>
    <mergeCell ref="A28:B28"/>
    <mergeCell ref="C28:D28"/>
    <mergeCell ref="B32:D32"/>
    <mergeCell ref="A22:B22"/>
    <mergeCell ref="C22:D22"/>
    <mergeCell ref="A23:B23"/>
    <mergeCell ref="C23:D23"/>
    <mergeCell ref="A24:B24"/>
    <mergeCell ref="C24:D24"/>
    <mergeCell ref="A19:B19"/>
    <mergeCell ref="C19:D19"/>
    <mergeCell ref="B44:D44"/>
    <mergeCell ref="B45:D45"/>
    <mergeCell ref="B46:D46"/>
    <mergeCell ref="A31:A32"/>
    <mergeCell ref="F31:F32"/>
    <mergeCell ref="B39:D39"/>
    <mergeCell ref="B40:D40"/>
    <mergeCell ref="B41:D41"/>
    <mergeCell ref="B42:D42"/>
    <mergeCell ref="B43:D43"/>
    <mergeCell ref="B34:D34"/>
    <mergeCell ref="B35:D35"/>
    <mergeCell ref="B36:D36"/>
    <mergeCell ref="B37:D37"/>
    <mergeCell ref="B38:D38"/>
    <mergeCell ref="B31:D31"/>
    <mergeCell ref="B33:D33"/>
    <mergeCell ref="A25:B25"/>
    <mergeCell ref="C25:D25"/>
    <mergeCell ref="A26:B26"/>
    <mergeCell ref="C26:D26"/>
    <mergeCell ref="A27:B27"/>
    <mergeCell ref="C27:D27"/>
    <mergeCell ref="A20:B20"/>
    <mergeCell ref="C20:D20"/>
    <mergeCell ref="A21:B21"/>
    <mergeCell ref="C21:D21"/>
    <mergeCell ref="A16:B16"/>
    <mergeCell ref="C16:D16"/>
    <mergeCell ref="A17:B17"/>
    <mergeCell ref="C17:D17"/>
    <mergeCell ref="A18:B18"/>
    <mergeCell ref="C18:D18"/>
    <mergeCell ref="A8:B8"/>
    <mergeCell ref="C8:D8"/>
    <mergeCell ref="F8:H8"/>
    <mergeCell ref="A10:E10"/>
    <mergeCell ref="A11:E11"/>
    <mergeCell ref="A6:B6"/>
    <mergeCell ref="C6:D6"/>
    <mergeCell ref="F6:H6"/>
    <mergeCell ref="A7:B7"/>
    <mergeCell ref="C7:D7"/>
    <mergeCell ref="F7:H7"/>
    <mergeCell ref="A4:B4"/>
    <mergeCell ref="C4:D4"/>
    <mergeCell ref="F4:H4"/>
    <mergeCell ref="A5:B5"/>
    <mergeCell ref="C5:D5"/>
    <mergeCell ref="F5:H5"/>
    <mergeCell ref="A2:B2"/>
    <mergeCell ref="C2:D2"/>
    <mergeCell ref="F2:H2"/>
    <mergeCell ref="A3:B3"/>
    <mergeCell ref="C3:D3"/>
    <mergeCell ref="F3:H3"/>
  </mergeCells>
  <pageMargins left="0.39370078740157499" right="0.39370078740157499" top="0.90551181102362199" bottom="0.74803149606299202" header="0.31496062992126" footer="0.31496062992126"/>
  <pageSetup paperSize="9" scale="61" orientation="portrait"/>
  <headerFooter>
    <oddHeader>&amp;C&amp;G</oddHeader>
    <oddFooter>&amp;L&amp;"-,Bold"&amp;10Doc Name: Food Specification   Doc Number: BASIC-18   Version: V04   Issue Date: 11/02/2021Issued By: Ling Hsuan Chiu   Authorised By: Emma Du&amp;R&amp;"-,Bold"&amp;10Confidential&amp;"-,Regular"&amp;D - Page &amp;P of &amp;N</oddFooter>
  </headerFooter>
  <legacyDrawingHF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K36"/>
  <sheetViews>
    <sheetView topLeftCell="A28" workbookViewId="0">
      <selection activeCell="A36" sqref="A36:E36"/>
    </sheetView>
  </sheetViews>
  <sheetFormatPr defaultColWidth="9.140625" defaultRowHeight="15"/>
  <cols>
    <col min="1" max="1" width="35.85546875" style="9" customWidth="1"/>
    <col min="2" max="2" width="17.140625" style="9" customWidth="1"/>
    <col min="3" max="3" width="18" style="9" customWidth="1"/>
    <col min="4" max="6" width="17" style="9" customWidth="1"/>
    <col min="7" max="7" width="14" style="9" customWidth="1"/>
    <col min="8" max="8" width="16.42578125" style="9" customWidth="1"/>
    <col min="9" max="9" width="17" style="9" customWidth="1"/>
    <col min="10" max="10" width="14.140625" style="9" customWidth="1"/>
    <col min="11" max="16384" width="9.140625" style="9"/>
  </cols>
  <sheetData>
    <row r="1" spans="1:11" s="8" customFormat="1" ht="30" customHeight="1">
      <c r="A1" s="13" t="s">
        <v>146</v>
      </c>
      <c r="B1" s="13"/>
      <c r="C1" s="13"/>
      <c r="D1" s="13"/>
      <c r="E1" s="13"/>
      <c r="G1" s="54"/>
      <c r="H1" s="54"/>
    </row>
    <row r="2" spans="1:11" ht="24.95" customHeight="1">
      <c r="A2" s="160" t="s">
        <v>147</v>
      </c>
      <c r="B2" s="161"/>
      <c r="C2" s="42" t="s">
        <v>148</v>
      </c>
      <c r="D2" s="43" t="s">
        <v>149</v>
      </c>
      <c r="E2" s="55" t="s">
        <v>150</v>
      </c>
      <c r="G2" s="56"/>
      <c r="H2" s="56"/>
      <c r="I2" s="56"/>
    </row>
    <row r="3" spans="1:11" ht="24.95" customHeight="1">
      <c r="A3" s="162" t="s">
        <v>151</v>
      </c>
      <c r="B3" s="163"/>
      <c r="C3" s="44"/>
      <c r="D3" s="11" t="s">
        <v>152</v>
      </c>
      <c r="E3" s="11" t="s">
        <v>153</v>
      </c>
      <c r="G3" s="56"/>
      <c r="H3" s="56"/>
      <c r="I3" s="56"/>
    </row>
    <row r="4" spans="1:11" ht="24.95" customHeight="1">
      <c r="A4" s="164" t="s">
        <v>154</v>
      </c>
      <c r="B4" s="165"/>
      <c r="C4" s="44"/>
      <c r="D4" s="11" t="s">
        <v>155</v>
      </c>
      <c r="E4" s="11" t="s">
        <v>153</v>
      </c>
      <c r="G4" s="56"/>
      <c r="H4" s="56"/>
      <c r="I4" s="56"/>
    </row>
    <row r="5" spans="1:11" ht="24.95" customHeight="1">
      <c r="A5" s="164" t="s">
        <v>156</v>
      </c>
      <c r="B5" s="165"/>
      <c r="C5" s="44"/>
      <c r="D5" s="11" t="s">
        <v>157</v>
      </c>
      <c r="E5" s="11" t="s">
        <v>158</v>
      </c>
      <c r="G5" s="56"/>
      <c r="H5" s="56"/>
      <c r="I5" s="56"/>
    </row>
    <row r="6" spans="1:11" ht="24.95" customHeight="1">
      <c r="A6" s="13" t="s">
        <v>159</v>
      </c>
      <c r="B6" s="13"/>
      <c r="C6" s="13"/>
      <c r="D6" s="13"/>
      <c r="E6" s="13"/>
      <c r="F6" s="8"/>
      <c r="G6" s="56"/>
      <c r="H6" s="56"/>
      <c r="I6" s="56"/>
    </row>
    <row r="7" spans="1:11" ht="24.95" customHeight="1">
      <c r="A7" s="166" t="s">
        <v>160</v>
      </c>
      <c r="B7" s="167"/>
      <c r="C7" s="167"/>
      <c r="D7" s="167"/>
      <c r="E7" s="168"/>
      <c r="F7" s="34" t="s">
        <v>62</v>
      </c>
      <c r="G7" s="56"/>
      <c r="H7" s="56"/>
      <c r="I7" s="56"/>
    </row>
    <row r="8" spans="1:11" s="8" customFormat="1" ht="30" customHeight="1">
      <c r="A8" s="166" t="s">
        <v>161</v>
      </c>
      <c r="B8" s="167"/>
      <c r="C8" s="167"/>
      <c r="D8" s="167"/>
      <c r="E8" s="168"/>
      <c r="F8" s="15" t="s">
        <v>62</v>
      </c>
      <c r="I8" s="62"/>
      <c r="J8" s="62"/>
    </row>
    <row r="9" spans="1:11" ht="24.95" customHeight="1">
      <c r="A9" s="13" t="s">
        <v>162</v>
      </c>
      <c r="B9" s="169" t="s">
        <v>163</v>
      </c>
      <c r="C9" s="169"/>
      <c r="D9" s="169"/>
      <c r="E9" s="169"/>
      <c r="F9" s="169"/>
      <c r="I9" s="56"/>
      <c r="J9" s="56"/>
    </row>
    <row r="10" spans="1:11" ht="24.95" customHeight="1">
      <c r="A10" s="170" t="s">
        <v>164</v>
      </c>
      <c r="B10" s="171"/>
      <c r="C10" s="171"/>
      <c r="D10" s="171"/>
      <c r="E10" s="172"/>
      <c r="F10" s="15" t="s">
        <v>62</v>
      </c>
      <c r="I10" s="56"/>
      <c r="J10" s="56"/>
    </row>
    <row r="11" spans="1:11" s="8" customFormat="1" ht="30" customHeight="1">
      <c r="A11" s="170" t="s">
        <v>165</v>
      </c>
      <c r="B11" s="171"/>
      <c r="C11" s="171" t="s">
        <v>112</v>
      </c>
      <c r="D11" s="171" t="s">
        <v>112</v>
      </c>
      <c r="E11" s="172" t="s">
        <v>112</v>
      </c>
      <c r="F11" s="15" t="s">
        <v>62</v>
      </c>
      <c r="I11" s="62"/>
      <c r="J11" s="62"/>
      <c r="K11" s="62"/>
    </row>
    <row r="12" spans="1:11" ht="24.95" customHeight="1">
      <c r="A12" s="170" t="s">
        <v>166</v>
      </c>
      <c r="B12" s="171"/>
      <c r="C12" s="171"/>
      <c r="D12" s="171"/>
      <c r="E12" s="172"/>
      <c r="F12" s="57" t="s">
        <v>13</v>
      </c>
      <c r="I12" s="56"/>
      <c r="J12" s="56"/>
      <c r="K12" s="56"/>
    </row>
    <row r="13" spans="1:11" ht="24.95" customHeight="1">
      <c r="A13" s="170" t="s">
        <v>167</v>
      </c>
      <c r="B13" s="171"/>
      <c r="C13" s="171" t="s">
        <v>112</v>
      </c>
      <c r="D13" s="171" t="s">
        <v>112</v>
      </c>
      <c r="E13" s="172" t="s">
        <v>112</v>
      </c>
      <c r="F13" s="15" t="s">
        <v>62</v>
      </c>
      <c r="I13" s="56"/>
      <c r="J13" s="56"/>
      <c r="K13" s="56"/>
    </row>
    <row r="14" spans="1:11" ht="24.95" customHeight="1">
      <c r="A14" s="170" t="s">
        <v>168</v>
      </c>
      <c r="B14" s="171"/>
      <c r="C14" s="171"/>
      <c r="D14" s="171"/>
      <c r="E14" s="172"/>
      <c r="F14" s="57" t="s">
        <v>13</v>
      </c>
      <c r="I14" s="56"/>
      <c r="J14" s="56"/>
      <c r="K14" s="56"/>
    </row>
    <row r="15" spans="1:11" ht="24.95" customHeight="1">
      <c r="A15" s="13" t="s">
        <v>169</v>
      </c>
      <c r="B15" s="46" t="s">
        <v>170</v>
      </c>
      <c r="C15" s="46"/>
      <c r="D15" s="46"/>
      <c r="E15" s="13"/>
      <c r="F15" s="22"/>
      <c r="I15" s="56"/>
      <c r="J15" s="56"/>
      <c r="K15" s="56"/>
    </row>
    <row r="16" spans="1:11" ht="24.95" customHeight="1">
      <c r="A16" s="47" t="s">
        <v>171</v>
      </c>
      <c r="B16" s="47" t="s">
        <v>172</v>
      </c>
      <c r="C16" s="47" t="s">
        <v>173</v>
      </c>
      <c r="D16" s="48" t="s">
        <v>174</v>
      </c>
      <c r="E16" s="48" t="s">
        <v>175</v>
      </c>
      <c r="F16" s="48" t="s">
        <v>150</v>
      </c>
      <c r="I16" s="56"/>
      <c r="J16" s="56"/>
      <c r="K16" s="56"/>
    </row>
    <row r="17" spans="1:7" s="8" customFormat="1" ht="24.95" customHeight="1">
      <c r="A17" s="49" t="s">
        <v>176</v>
      </c>
      <c r="B17" s="50" t="s">
        <v>177</v>
      </c>
      <c r="C17" s="51" t="s">
        <v>178</v>
      </c>
      <c r="D17" s="52" t="s">
        <v>179</v>
      </c>
      <c r="E17" s="52" t="s">
        <v>179</v>
      </c>
      <c r="F17" s="51" t="s">
        <v>180</v>
      </c>
      <c r="G17" s="9"/>
    </row>
    <row r="18" spans="1:7" s="8" customFormat="1" ht="24.95" customHeight="1">
      <c r="A18" s="49" t="s">
        <v>181</v>
      </c>
      <c r="B18" s="50" t="s">
        <v>177</v>
      </c>
      <c r="C18" s="53" t="s">
        <v>182</v>
      </c>
      <c r="D18" s="52" t="s">
        <v>183</v>
      </c>
      <c r="E18" s="52" t="s">
        <v>183</v>
      </c>
      <c r="F18" s="51" t="s">
        <v>180</v>
      </c>
      <c r="G18" s="9"/>
    </row>
    <row r="19" spans="1:7" ht="24.95" customHeight="1">
      <c r="A19" s="49" t="s">
        <v>184</v>
      </c>
      <c r="B19" s="50" t="s">
        <v>185</v>
      </c>
      <c r="C19" s="51" t="s">
        <v>186</v>
      </c>
      <c r="D19" s="51"/>
      <c r="E19" s="51"/>
      <c r="F19" s="51"/>
    </row>
    <row r="20" spans="1:7" ht="24.95" customHeight="1">
      <c r="A20" s="49" t="s">
        <v>187</v>
      </c>
      <c r="B20" s="50" t="s">
        <v>185</v>
      </c>
      <c r="C20" s="51" t="s">
        <v>188</v>
      </c>
      <c r="D20" s="51"/>
      <c r="E20" s="51"/>
      <c r="F20" s="51"/>
      <c r="G20" s="58"/>
    </row>
    <row r="21" spans="1:7" ht="24.95" customHeight="1">
      <c r="A21" s="49" t="s">
        <v>189</v>
      </c>
      <c r="B21" s="50" t="s">
        <v>185</v>
      </c>
      <c r="C21" s="51" t="s">
        <v>190</v>
      </c>
      <c r="D21" s="51"/>
      <c r="E21" s="51"/>
      <c r="F21" s="51"/>
      <c r="G21" s="59"/>
    </row>
    <row r="22" spans="1:7" ht="24.95" customHeight="1">
      <c r="A22" s="49" t="s">
        <v>191</v>
      </c>
      <c r="B22" s="50" t="s">
        <v>192</v>
      </c>
      <c r="C22" s="51" t="s">
        <v>190</v>
      </c>
      <c r="D22" s="51"/>
      <c r="E22" s="51"/>
      <c r="F22" s="51"/>
      <c r="G22" s="59"/>
    </row>
    <row r="23" spans="1:7" ht="24.95" customHeight="1">
      <c r="A23" s="49" t="s">
        <v>193</v>
      </c>
      <c r="B23" s="50" t="s">
        <v>192</v>
      </c>
      <c r="C23" s="51" t="s">
        <v>190</v>
      </c>
      <c r="D23" s="51"/>
      <c r="E23" s="51"/>
      <c r="F23" s="51"/>
      <c r="G23" s="60"/>
    </row>
    <row r="24" spans="1:7" ht="24.95" customHeight="1">
      <c r="A24" s="49" t="s">
        <v>194</v>
      </c>
      <c r="B24" s="50" t="s">
        <v>192</v>
      </c>
      <c r="C24" s="51" t="s">
        <v>190</v>
      </c>
      <c r="D24" s="51"/>
      <c r="E24" s="51"/>
      <c r="F24" s="51"/>
      <c r="G24" s="60"/>
    </row>
    <row r="25" spans="1:7" ht="24.95" customHeight="1">
      <c r="A25" s="49" t="s">
        <v>195</v>
      </c>
      <c r="B25" s="50" t="s">
        <v>192</v>
      </c>
      <c r="C25" s="51" t="s">
        <v>190</v>
      </c>
      <c r="D25" s="51"/>
      <c r="E25" s="51"/>
      <c r="F25" s="52"/>
      <c r="G25" s="60"/>
    </row>
    <row r="26" spans="1:7" ht="24.95" customHeight="1">
      <c r="A26" s="49" t="s">
        <v>196</v>
      </c>
      <c r="B26" s="50" t="s">
        <v>192</v>
      </c>
      <c r="C26" s="51" t="s">
        <v>190</v>
      </c>
      <c r="D26" s="51"/>
      <c r="E26" s="51"/>
      <c r="F26" s="51"/>
      <c r="G26" s="60"/>
    </row>
    <row r="27" spans="1:7" ht="24.95" customHeight="1">
      <c r="A27" s="49" t="s">
        <v>197</v>
      </c>
      <c r="B27" s="50" t="s">
        <v>192</v>
      </c>
      <c r="C27" s="51" t="s">
        <v>190</v>
      </c>
      <c r="D27" s="51"/>
      <c r="E27" s="51"/>
      <c r="F27" s="51"/>
      <c r="G27" s="60"/>
    </row>
    <row r="28" spans="1:7" ht="24.95" customHeight="1">
      <c r="A28" s="49" t="s">
        <v>198</v>
      </c>
      <c r="B28" s="50" t="s">
        <v>192</v>
      </c>
      <c r="C28" s="51" t="s">
        <v>186</v>
      </c>
      <c r="D28" s="51"/>
      <c r="E28" s="51"/>
      <c r="F28" s="51"/>
      <c r="G28" s="60"/>
    </row>
    <row r="29" spans="1:7" ht="24.95" customHeight="1">
      <c r="A29" s="49" t="s">
        <v>199</v>
      </c>
      <c r="B29" s="50" t="s">
        <v>192</v>
      </c>
      <c r="C29" s="51" t="s">
        <v>200</v>
      </c>
      <c r="D29" s="51"/>
      <c r="E29" s="51"/>
      <c r="F29" s="51"/>
      <c r="G29" s="60"/>
    </row>
    <row r="30" spans="1:7" ht="24.95" customHeight="1">
      <c r="A30" s="49" t="s">
        <v>201</v>
      </c>
      <c r="B30" s="50" t="s">
        <v>192</v>
      </c>
      <c r="C30" s="51" t="s">
        <v>200</v>
      </c>
      <c r="D30" s="51"/>
      <c r="E30" s="51"/>
      <c r="F30" s="51"/>
      <c r="G30" s="60"/>
    </row>
    <row r="31" spans="1:7" ht="24.95" customHeight="1">
      <c r="A31" s="49" t="s">
        <v>202</v>
      </c>
      <c r="B31" s="50" t="s">
        <v>192</v>
      </c>
      <c r="C31" s="51" t="s">
        <v>203</v>
      </c>
      <c r="D31" s="51"/>
      <c r="E31" s="51"/>
      <c r="F31" s="51"/>
      <c r="G31" s="60"/>
    </row>
    <row r="32" spans="1:7" ht="24.95" customHeight="1">
      <c r="A32" s="49" t="s">
        <v>204</v>
      </c>
      <c r="B32" s="50" t="s">
        <v>192</v>
      </c>
      <c r="C32" s="51" t="s">
        <v>186</v>
      </c>
      <c r="D32" s="51"/>
      <c r="E32" s="51"/>
      <c r="F32" s="51"/>
      <c r="G32" s="60"/>
    </row>
    <row r="33" spans="1:7" ht="24.95" customHeight="1">
      <c r="A33" s="13" t="s">
        <v>205</v>
      </c>
      <c r="B33" s="13"/>
      <c r="C33" s="13"/>
      <c r="D33" s="8"/>
      <c r="E33" s="61"/>
      <c r="F33" s="8"/>
      <c r="G33" s="60"/>
    </row>
    <row r="34" spans="1:7" ht="24.95" customHeight="1">
      <c r="A34" s="155" t="s">
        <v>206</v>
      </c>
      <c r="B34" s="155"/>
      <c r="C34" s="177" t="s">
        <v>207</v>
      </c>
      <c r="D34" s="178"/>
      <c r="E34" s="179"/>
      <c r="G34" s="60"/>
    </row>
    <row r="35" spans="1:7" s="8" customFormat="1" ht="30" customHeight="1">
      <c r="A35" s="180" t="s">
        <v>208</v>
      </c>
      <c r="B35" s="180"/>
      <c r="C35" s="181" t="s">
        <v>208</v>
      </c>
      <c r="D35" s="182"/>
      <c r="E35" s="183"/>
      <c r="F35" s="9"/>
    </row>
    <row r="36" spans="1:7" ht="104.45" customHeight="1">
      <c r="A36" s="173" t="s">
        <v>209</v>
      </c>
      <c r="B36" s="173"/>
      <c r="C36" s="174" t="s">
        <v>210</v>
      </c>
      <c r="D36" s="175"/>
      <c r="E36" s="176"/>
    </row>
  </sheetData>
  <mergeCells count="18">
    <mergeCell ref="A36:B36"/>
    <mergeCell ref="C36:E36"/>
    <mergeCell ref="A13:E13"/>
    <mergeCell ref="A14:E14"/>
    <mergeCell ref="A34:B34"/>
    <mergeCell ref="C34:E34"/>
    <mergeCell ref="A35:B35"/>
    <mergeCell ref="C35:E35"/>
    <mergeCell ref="A8:E8"/>
    <mergeCell ref="B9:F9"/>
    <mergeCell ref="A10:E10"/>
    <mergeCell ref="A11:E11"/>
    <mergeCell ref="A12:E12"/>
    <mergeCell ref="A2:B2"/>
    <mergeCell ref="A3:B3"/>
    <mergeCell ref="A4:B4"/>
    <mergeCell ref="A5:B5"/>
    <mergeCell ref="A7:E7"/>
  </mergeCells>
  <pageMargins left="0.43307086614173201" right="0.39370078740157499" top="0.90551181102362199" bottom="0.62992125984252001" header="0.31496062992126" footer="0.31496062992126"/>
  <pageSetup paperSize="9" scale="59" orientation="portrait"/>
  <headerFooter>
    <oddHeader>&amp;C&amp;G</oddHeader>
    <oddFooter>&amp;L&amp;"-,Bold"&amp;10Doc Name: Food Specification   Doc Number: BASIC-18   Version: V04   Issue Date: 11/02/2021Issued By: Ling Hsuan Chiu   Authorised By: Emma Du&amp;R&amp;"-,Bold"&amp;10Confidential&amp;"-,Regular" &amp;D - Page &amp;P of &amp;N</oddFooter>
  </headerFooter>
  <drawing r:id="rId1"/>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H29"/>
  <sheetViews>
    <sheetView workbookViewId="0">
      <selection activeCell="K17" sqref="K17"/>
    </sheetView>
  </sheetViews>
  <sheetFormatPr defaultColWidth="9.140625" defaultRowHeight="15"/>
  <cols>
    <col min="1" max="1" width="35.85546875" style="9" customWidth="1"/>
    <col min="2" max="3" width="19.42578125" style="9" customWidth="1"/>
    <col min="4" max="5" width="18.140625" style="9" customWidth="1"/>
    <col min="6" max="6" width="12.140625" style="9" customWidth="1"/>
    <col min="7" max="16384" width="9.140625" style="9"/>
  </cols>
  <sheetData>
    <row r="1" spans="1:8" ht="30" customHeight="1">
      <c r="A1" s="112" t="s">
        <v>211</v>
      </c>
      <c r="B1" s="112"/>
      <c r="C1" s="112"/>
      <c r="E1" s="41"/>
      <c r="F1" s="41"/>
    </row>
    <row r="2" spans="1:8">
      <c r="A2" s="30"/>
      <c r="B2" s="31" t="s">
        <v>212</v>
      </c>
      <c r="C2" s="31" t="s">
        <v>213</v>
      </c>
      <c r="F2" s="41"/>
    </row>
    <row r="3" spans="1:8" ht="24.95" customHeight="1">
      <c r="A3" s="17" t="s">
        <v>214</v>
      </c>
      <c r="B3" s="15" t="s">
        <v>13</v>
      </c>
      <c r="C3" s="32" t="s">
        <v>13</v>
      </c>
      <c r="F3" s="41"/>
    </row>
    <row r="4" spans="1:8" ht="24.95" customHeight="1">
      <c r="A4" s="33" t="s">
        <v>215</v>
      </c>
      <c r="B4" s="34" t="s">
        <v>216</v>
      </c>
      <c r="C4" s="34" t="s">
        <v>217</v>
      </c>
      <c r="F4" s="41"/>
    </row>
    <row r="5" spans="1:8" ht="24.95" customHeight="1">
      <c r="A5" s="33" t="s">
        <v>218</v>
      </c>
      <c r="B5" s="34" t="s">
        <v>219</v>
      </c>
      <c r="C5" s="34" t="s">
        <v>220</v>
      </c>
      <c r="F5" s="41"/>
    </row>
    <row r="6" spans="1:8" ht="24.95" customHeight="1">
      <c r="A6" s="184" t="s">
        <v>221</v>
      </c>
      <c r="B6" s="184"/>
      <c r="C6" s="184"/>
      <c r="D6" s="35" t="s">
        <v>62</v>
      </c>
      <c r="H6" s="106"/>
    </row>
    <row r="7" spans="1:8" ht="24.95" customHeight="1">
      <c r="A7" s="184" t="s">
        <v>222</v>
      </c>
      <c r="B7" s="184"/>
      <c r="C7" s="184"/>
      <c r="D7" s="35" t="s">
        <v>62</v>
      </c>
    </row>
    <row r="8" spans="1:8" ht="24.95" customHeight="1">
      <c r="A8" s="184" t="s">
        <v>223</v>
      </c>
      <c r="B8" s="184"/>
      <c r="C8" s="184"/>
      <c r="D8" s="35" t="s">
        <v>16</v>
      </c>
    </row>
    <row r="9" spans="1:8" ht="30" customHeight="1">
      <c r="A9" s="36" t="s">
        <v>224</v>
      </c>
    </row>
    <row r="10" spans="1:8" ht="15" customHeight="1">
      <c r="A10" s="199"/>
      <c r="B10" s="201" t="s">
        <v>225</v>
      </c>
      <c r="C10" s="203" t="s">
        <v>226</v>
      </c>
      <c r="D10" s="203" t="s">
        <v>227</v>
      </c>
      <c r="E10" s="190" t="s">
        <v>228</v>
      </c>
      <c r="F10" s="30"/>
    </row>
    <row r="11" spans="1:8" ht="21" customHeight="1">
      <c r="A11" s="200"/>
      <c r="B11" s="202"/>
      <c r="C11" s="202"/>
      <c r="D11" s="210"/>
      <c r="E11" s="190"/>
      <c r="F11" s="30"/>
    </row>
    <row r="12" spans="1:8" ht="15" customHeight="1">
      <c r="A12" s="33" t="s">
        <v>229</v>
      </c>
      <c r="B12" s="188" t="s">
        <v>230</v>
      </c>
      <c r="C12" s="204" t="s">
        <v>300</v>
      </c>
      <c r="D12" s="188">
        <v>20</v>
      </c>
      <c r="E12" s="104" t="s">
        <v>297</v>
      </c>
      <c r="F12" s="30">
        <v>322</v>
      </c>
    </row>
    <row r="13" spans="1:8" ht="15" customHeight="1">
      <c r="A13" s="100" t="s">
        <v>293</v>
      </c>
      <c r="B13" s="188"/>
      <c r="C13" s="205"/>
      <c r="D13" s="188"/>
      <c r="E13" s="104" t="s">
        <v>298</v>
      </c>
      <c r="F13" s="30">
        <v>215</v>
      </c>
    </row>
    <row r="14" spans="1:8" ht="15" customHeight="1">
      <c r="A14" s="33"/>
      <c r="B14" s="188"/>
      <c r="C14" s="206"/>
      <c r="D14" s="188"/>
      <c r="E14" s="104" t="s">
        <v>299</v>
      </c>
      <c r="F14" s="30"/>
    </row>
    <row r="15" spans="1:8" ht="15" customHeight="1">
      <c r="A15" s="101" t="s">
        <v>231</v>
      </c>
      <c r="B15" s="189" t="s">
        <v>296</v>
      </c>
      <c r="C15" s="207" t="s">
        <v>232</v>
      </c>
      <c r="D15" s="189">
        <v>800</v>
      </c>
      <c r="E15" s="104" t="s">
        <v>297</v>
      </c>
      <c r="F15" s="30">
        <v>400</v>
      </c>
    </row>
    <row r="16" spans="1:8" ht="15" customHeight="1">
      <c r="A16" s="103" t="s">
        <v>294</v>
      </c>
      <c r="B16" s="189"/>
      <c r="C16" s="208"/>
      <c r="D16" s="189"/>
      <c r="E16" s="104" t="s">
        <v>298</v>
      </c>
      <c r="F16" s="30">
        <v>300</v>
      </c>
    </row>
    <row r="17" spans="1:6" ht="15" customHeight="1">
      <c r="A17" s="102"/>
      <c r="B17" s="189"/>
      <c r="C17" s="209"/>
      <c r="D17" s="189"/>
      <c r="E17" s="104" t="s">
        <v>299</v>
      </c>
      <c r="F17" s="30">
        <v>165</v>
      </c>
    </row>
    <row r="18" spans="1:6" ht="15" customHeight="1">
      <c r="A18" s="33" t="s">
        <v>233</v>
      </c>
      <c r="B18" s="185" t="s">
        <v>234</v>
      </c>
      <c r="C18" s="186"/>
      <c r="D18" s="186"/>
      <c r="E18" s="187"/>
    </row>
    <row r="19" spans="1:6" ht="15" customHeight="1">
      <c r="A19" s="33" t="s">
        <v>235</v>
      </c>
      <c r="B19" s="191" t="s">
        <v>236</v>
      </c>
      <c r="C19" s="187"/>
      <c r="D19" s="187"/>
      <c r="E19" s="187"/>
    </row>
    <row r="20" spans="1:6" ht="15" customHeight="1">
      <c r="A20" s="38"/>
      <c r="B20" s="27"/>
      <c r="C20" s="27"/>
      <c r="D20" s="27"/>
    </row>
    <row r="21" spans="1:6" ht="30" customHeight="1">
      <c r="A21" s="13" t="s">
        <v>237</v>
      </c>
    </row>
    <row r="22" spans="1:6" ht="35.25" customHeight="1">
      <c r="A22" s="30"/>
      <c r="B22" s="190" t="s">
        <v>238</v>
      </c>
      <c r="C22" s="192"/>
      <c r="D22" s="190" t="s">
        <v>239</v>
      </c>
      <c r="E22" s="192"/>
    </row>
    <row r="23" spans="1:6" ht="20.100000000000001" customHeight="1">
      <c r="A23" s="33" t="s">
        <v>240</v>
      </c>
      <c r="B23" s="189">
        <v>8</v>
      </c>
      <c r="C23" s="189"/>
      <c r="D23" s="189">
        <v>10</v>
      </c>
      <c r="E23" s="189"/>
    </row>
    <row r="24" spans="1:6" ht="20.100000000000001" customHeight="1">
      <c r="A24" s="33" t="s">
        <v>241</v>
      </c>
      <c r="B24" s="189">
        <v>9</v>
      </c>
      <c r="C24" s="189"/>
      <c r="D24" s="189">
        <v>9</v>
      </c>
      <c r="E24" s="189"/>
    </row>
    <row r="25" spans="1:6" ht="20.100000000000001" customHeight="1">
      <c r="A25" s="33" t="s">
        <v>242</v>
      </c>
      <c r="B25" s="189">
        <f>B23*B24</f>
        <v>72</v>
      </c>
      <c r="C25" s="189"/>
      <c r="D25" s="189">
        <f>D23*D24</f>
        <v>90</v>
      </c>
      <c r="E25" s="189"/>
    </row>
    <row r="26" spans="1:6" ht="20.100000000000001" customHeight="1">
      <c r="A26" s="33" t="s">
        <v>243</v>
      </c>
      <c r="B26" s="189">
        <f>B24*F17/1000</f>
        <v>1.4850000000000001</v>
      </c>
      <c r="C26" s="189"/>
      <c r="D26" s="189">
        <f>D24*F17/1000</f>
        <v>1.4850000000000001</v>
      </c>
      <c r="E26" s="189"/>
    </row>
    <row r="27" spans="1:6" ht="20.100000000000001" customHeight="1">
      <c r="A27" s="39" t="s">
        <v>244</v>
      </c>
      <c r="B27" s="193">
        <f>B26+0.145</f>
        <v>1.6300000000000001</v>
      </c>
      <c r="C27" s="194"/>
      <c r="D27" s="195"/>
      <c r="E27" s="196"/>
    </row>
    <row r="28" spans="1:6" ht="105.75" customHeight="1">
      <c r="A28" s="33" t="s">
        <v>245</v>
      </c>
      <c r="B28" s="197"/>
      <c r="C28" s="198"/>
      <c r="D28" s="197"/>
      <c r="E28" s="198"/>
    </row>
    <row r="29" spans="1:6">
      <c r="B29" s="40" t="s">
        <v>246</v>
      </c>
    </row>
  </sheetData>
  <mergeCells count="30">
    <mergeCell ref="B27:E27"/>
    <mergeCell ref="B28:C28"/>
    <mergeCell ref="D28:E28"/>
    <mergeCell ref="A10:A11"/>
    <mergeCell ref="B10:B11"/>
    <mergeCell ref="B12:B14"/>
    <mergeCell ref="B15:B17"/>
    <mergeCell ref="C10:C11"/>
    <mergeCell ref="C12:C14"/>
    <mergeCell ref="C15:C17"/>
    <mergeCell ref="D10:D11"/>
    <mergeCell ref="B24:C24"/>
    <mergeCell ref="D24:E24"/>
    <mergeCell ref="B25:C25"/>
    <mergeCell ref="D25:E25"/>
    <mergeCell ref="B26:C26"/>
    <mergeCell ref="D26:E26"/>
    <mergeCell ref="B19:E19"/>
    <mergeCell ref="B22:C22"/>
    <mergeCell ref="D22:E22"/>
    <mergeCell ref="B23:C23"/>
    <mergeCell ref="D23:E23"/>
    <mergeCell ref="A1:C1"/>
    <mergeCell ref="A6:C6"/>
    <mergeCell ref="A7:C7"/>
    <mergeCell ref="A8:C8"/>
    <mergeCell ref="B18:E18"/>
    <mergeCell ref="D12:D14"/>
    <mergeCell ref="D15:D17"/>
    <mergeCell ref="E10:E11"/>
  </mergeCells>
  <pageMargins left="0.39370078740157499" right="0.39370078740157499" top="1.14173228346457" bottom="0.66929133858267698" header="0.39370078740157499" footer="0.31496062992126"/>
  <pageSetup paperSize="9" scale="85" orientation="portrait"/>
  <headerFooter>
    <oddHeader>&amp;C&amp;G</oddHeader>
    <oddFooter>&amp;L&amp;"-,Bold"&amp;10Doc Name: Food Specification   Doc Number: BASIC-18   Version: V04   Issue Date: 11/02/2021Issued By: Ling Hsuan Chiu   Authorised By: Emma Du&amp;R&amp;"-,Bold"&amp;10Confidential&amp;"-,Regular" &amp;D - Page &amp;P of &amp;N</oddFooter>
  </headerFooter>
  <drawing r:id="rId1"/>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G28"/>
  <sheetViews>
    <sheetView workbookViewId="0">
      <selection activeCell="B29" sqref="B29"/>
    </sheetView>
  </sheetViews>
  <sheetFormatPr defaultColWidth="9.140625" defaultRowHeight="15"/>
  <cols>
    <col min="1" max="1" width="35.85546875" style="9" customWidth="1"/>
    <col min="2" max="2" width="19.42578125" style="9" customWidth="1"/>
    <col min="3" max="3" width="15.5703125" style="9" customWidth="1"/>
    <col min="4" max="5" width="20.42578125" style="9" customWidth="1"/>
    <col min="6" max="6" width="7.42578125" style="9" customWidth="1"/>
    <col min="7" max="7" width="11.5703125" style="9" customWidth="1"/>
    <col min="8" max="16384" width="9.140625" style="9"/>
  </cols>
  <sheetData>
    <row r="1" spans="1:7" s="8" customFormat="1" ht="30" customHeight="1">
      <c r="A1" s="211" t="s">
        <v>247</v>
      </c>
      <c r="B1" s="211"/>
      <c r="C1" s="211"/>
      <c r="D1" s="211"/>
      <c r="E1" s="211"/>
      <c r="F1" s="22"/>
    </row>
    <row r="2" spans="1:7" ht="24.95" customHeight="1">
      <c r="A2" s="212" t="s">
        <v>248</v>
      </c>
      <c r="B2" s="212"/>
      <c r="C2" s="212"/>
      <c r="D2" s="212"/>
      <c r="E2" s="212"/>
      <c r="F2" s="23"/>
    </row>
    <row r="3" spans="1:7" ht="24.95" customHeight="1">
      <c r="A3" s="214"/>
      <c r="B3" s="214"/>
      <c r="C3" s="214"/>
      <c r="D3" s="214"/>
      <c r="E3" s="214"/>
      <c r="F3" s="24"/>
    </row>
    <row r="4" spans="1:7" ht="337.5" customHeight="1">
      <c r="A4" s="214"/>
      <c r="B4" s="214"/>
      <c r="C4" s="214"/>
      <c r="D4" s="214"/>
      <c r="E4" s="214"/>
      <c r="F4" s="24"/>
    </row>
    <row r="5" spans="1:7" s="8" customFormat="1" ht="30" customHeight="1">
      <c r="A5" s="211" t="s">
        <v>249</v>
      </c>
      <c r="B5" s="211"/>
      <c r="C5" s="211"/>
      <c r="D5" s="211"/>
      <c r="E5" s="211"/>
      <c r="F5" s="22"/>
    </row>
    <row r="6" spans="1:7" ht="30" customHeight="1">
      <c r="A6" s="10" t="s">
        <v>250</v>
      </c>
      <c r="B6" s="213" t="s">
        <v>251</v>
      </c>
      <c r="C6" s="213"/>
      <c r="D6" s="10" t="s">
        <v>252</v>
      </c>
      <c r="E6" s="10" t="s">
        <v>253</v>
      </c>
      <c r="F6" s="25"/>
    </row>
    <row r="7" spans="1:7" ht="30" customHeight="1">
      <c r="A7" s="11" t="s">
        <v>254</v>
      </c>
      <c r="B7" s="164" t="s">
        <v>255</v>
      </c>
      <c r="C7" s="165"/>
      <c r="D7" s="12" t="s">
        <v>256</v>
      </c>
      <c r="E7" s="18" t="s">
        <v>257</v>
      </c>
    </row>
    <row r="8" spans="1:7" s="8" customFormat="1" ht="30" customHeight="1">
      <c r="A8" s="13" t="s">
        <v>258</v>
      </c>
      <c r="G8" s="26"/>
    </row>
    <row r="9" spans="1:7">
      <c r="A9" s="190" t="s">
        <v>259</v>
      </c>
      <c r="B9" s="190"/>
      <c r="C9" s="190" t="s">
        <v>260</v>
      </c>
      <c r="D9" s="190"/>
      <c r="E9" s="190"/>
      <c r="F9" s="20"/>
    </row>
    <row r="10" spans="1:7" ht="76.349999999999994" customHeight="1">
      <c r="A10" s="222"/>
      <c r="B10" s="222"/>
      <c r="C10" s="222"/>
      <c r="D10" s="222"/>
      <c r="E10" s="222"/>
      <c r="F10" s="27"/>
    </row>
    <row r="11" spans="1:7" ht="105.6" customHeight="1">
      <c r="A11" s="222"/>
      <c r="B11" s="222"/>
      <c r="C11" s="222"/>
      <c r="D11" s="222"/>
      <c r="E11" s="222"/>
      <c r="F11" s="27"/>
    </row>
    <row r="12" spans="1:7" ht="120" customHeight="1">
      <c r="A12" s="222"/>
      <c r="B12" s="222"/>
      <c r="C12" s="222"/>
      <c r="D12" s="222"/>
      <c r="E12" s="222"/>
      <c r="F12" s="27"/>
    </row>
    <row r="13" spans="1:7" s="8" customFormat="1" ht="30" customHeight="1">
      <c r="A13" s="13" t="s">
        <v>261</v>
      </c>
    </row>
    <row r="14" spans="1:7" ht="30">
      <c r="A14" s="14" t="s">
        <v>262</v>
      </c>
      <c r="B14" s="215" t="s">
        <v>263</v>
      </c>
      <c r="C14" s="215"/>
      <c r="D14" s="215" t="s">
        <v>264</v>
      </c>
      <c r="E14" s="215"/>
      <c r="F14" s="28"/>
    </row>
    <row r="15" spans="1:7" ht="127.5" customHeight="1">
      <c r="A15" s="15"/>
      <c r="B15" s="197"/>
      <c r="C15" s="198"/>
      <c r="D15" s="197"/>
      <c r="E15" s="198"/>
      <c r="F15" s="27"/>
    </row>
    <row r="16" spans="1:7" s="8" customFormat="1" ht="30" customHeight="1">
      <c r="A16" s="226" t="s">
        <v>265</v>
      </c>
      <c r="B16" s="226"/>
      <c r="C16" s="226"/>
      <c r="D16" s="227"/>
      <c r="E16" s="227"/>
      <c r="F16" s="16"/>
    </row>
    <row r="17" spans="1:7" ht="50.1" customHeight="1">
      <c r="A17" s="228" t="s">
        <v>266</v>
      </c>
      <c r="B17" s="229"/>
      <c r="C17" s="229"/>
      <c r="D17" s="229"/>
      <c r="E17" s="230"/>
      <c r="F17" s="23"/>
    </row>
    <row r="18" spans="1:7" ht="20.100000000000001" customHeight="1">
      <c r="A18" s="17" t="s">
        <v>267</v>
      </c>
      <c r="B18" s="107" t="s">
        <v>9</v>
      </c>
      <c r="C18" s="107"/>
      <c r="D18" s="107"/>
      <c r="E18" s="107"/>
      <c r="F18" s="20"/>
    </row>
    <row r="19" spans="1:7" ht="20.100000000000001" customHeight="1">
      <c r="A19" s="17" t="s">
        <v>268</v>
      </c>
      <c r="B19" s="107"/>
      <c r="C19" s="107"/>
      <c r="D19" s="107"/>
      <c r="E19" s="107"/>
      <c r="F19" s="20"/>
    </row>
    <row r="20" spans="1:7" ht="20.100000000000001" customHeight="1">
      <c r="A20" s="17" t="s">
        <v>269</v>
      </c>
      <c r="B20" s="223" t="s">
        <v>270</v>
      </c>
      <c r="C20" s="223"/>
      <c r="D20" s="223"/>
      <c r="E20" s="223"/>
      <c r="F20" s="20"/>
      <c r="G20" s="105"/>
    </row>
    <row r="21" spans="1:7" ht="20.100000000000001" customHeight="1">
      <c r="A21" s="17" t="s">
        <v>271</v>
      </c>
      <c r="B21" s="223" t="s">
        <v>272</v>
      </c>
      <c r="C21" s="223"/>
      <c r="D21" s="223"/>
      <c r="E21" s="223"/>
      <c r="F21" s="20"/>
    </row>
    <row r="22" spans="1:7" ht="20.100000000000001" customHeight="1">
      <c r="A22" s="17" t="s">
        <v>273</v>
      </c>
      <c r="B22" s="224"/>
      <c r="C22" s="223"/>
      <c r="D22" s="223"/>
      <c r="E22" s="223"/>
      <c r="F22" s="20"/>
    </row>
    <row r="23" spans="1:7">
      <c r="A23" s="19"/>
      <c r="B23" s="20"/>
      <c r="C23" s="20"/>
      <c r="D23" s="20"/>
      <c r="E23" s="20"/>
      <c r="F23" s="20"/>
    </row>
    <row r="24" spans="1:7" ht="15.75">
      <c r="A24" s="225" t="s">
        <v>274</v>
      </c>
      <c r="B24" s="225"/>
      <c r="C24" s="225"/>
      <c r="D24" s="225"/>
      <c r="E24" s="225"/>
      <c r="F24" s="29"/>
    </row>
    <row r="25" spans="1:7" ht="19.350000000000001" customHeight="1">
      <c r="A25" s="21" t="s">
        <v>268</v>
      </c>
      <c r="B25" s="219" t="s">
        <v>290</v>
      </c>
      <c r="C25" s="220"/>
      <c r="D25" s="220"/>
      <c r="E25" s="220"/>
      <c r="F25" s="20"/>
    </row>
    <row r="26" spans="1:7">
      <c r="A26" s="21" t="s">
        <v>269</v>
      </c>
      <c r="B26" s="216" t="s">
        <v>291</v>
      </c>
      <c r="C26" s="217"/>
      <c r="D26" s="217"/>
      <c r="E26" s="218"/>
      <c r="F26" s="20"/>
    </row>
    <row r="27" spans="1:7">
      <c r="A27" s="21" t="s">
        <v>271</v>
      </c>
      <c r="B27" s="219" t="s">
        <v>292</v>
      </c>
      <c r="C27" s="220"/>
      <c r="D27" s="220"/>
      <c r="E27" s="220"/>
      <c r="F27" s="20"/>
    </row>
    <row r="28" spans="1:7">
      <c r="A28" s="21" t="s">
        <v>273</v>
      </c>
      <c r="B28" s="221" t="s">
        <v>301</v>
      </c>
      <c r="C28" s="220"/>
      <c r="D28" s="220"/>
      <c r="E28" s="220"/>
      <c r="F28" s="20"/>
    </row>
  </sheetData>
  <mergeCells count="27">
    <mergeCell ref="B26:E26"/>
    <mergeCell ref="B27:E27"/>
    <mergeCell ref="B28:E28"/>
    <mergeCell ref="A10:B12"/>
    <mergeCell ref="C10:E12"/>
    <mergeCell ref="B20:E20"/>
    <mergeCell ref="B21:E21"/>
    <mergeCell ref="B22:E22"/>
    <mergeCell ref="A24:E24"/>
    <mergeCell ref="B25:E25"/>
    <mergeCell ref="A16:C16"/>
    <mergeCell ref="D16:E16"/>
    <mergeCell ref="A17:E17"/>
    <mergeCell ref="B18:E18"/>
    <mergeCell ref="B19:E19"/>
    <mergeCell ref="A9:B9"/>
    <mergeCell ref="C9:E9"/>
    <mergeCell ref="B14:C14"/>
    <mergeCell ref="D14:E14"/>
    <mergeCell ref="B15:C15"/>
    <mergeCell ref="D15:E15"/>
    <mergeCell ref="A1:E1"/>
    <mergeCell ref="A2:E2"/>
    <mergeCell ref="A5:E5"/>
    <mergeCell ref="B6:C6"/>
    <mergeCell ref="B7:C7"/>
    <mergeCell ref="A3:E4"/>
  </mergeCells>
  <pageMargins left="0.39370078740157499" right="0.39370078740157499" top="1.0629921259842501" bottom="0.70866141732283505" header="0.31496062992126" footer="0.31496062992126"/>
  <pageSetup paperSize="9" scale="62" orientation="portrait"/>
  <headerFooter>
    <oddHeader>&amp;C&amp;G</oddHeader>
    <oddFooter>&amp;L&amp;"-,Bold"&amp;10&amp;K000000Doc Name: Food Specification   Doc Number: BASIC-18   Version: V04   Issue Date: 11/02/2021Issued By: Ling Hsuan Chiu   Authorised By: Emma Du&amp;R&amp;"-,Bold"&amp;10Confidential&amp;"-,Regular" &amp;D - Page &amp;P of &amp;N</oddFooter>
  </headerFooter>
  <drawing r:id="rId1"/>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5"/>
  <sheetViews>
    <sheetView workbookViewId="0">
      <selection activeCell="H29" sqref="H29"/>
    </sheetView>
  </sheetViews>
  <sheetFormatPr defaultColWidth="9" defaultRowHeight="15"/>
  <cols>
    <col min="1" max="1" width="15.140625" customWidth="1"/>
    <col min="2" max="2" width="102.140625" customWidth="1"/>
  </cols>
  <sheetData>
    <row r="1" spans="1:2" ht="30">
      <c r="A1" s="2" t="s">
        <v>275</v>
      </c>
      <c r="B1" s="3" t="s">
        <v>276</v>
      </c>
    </row>
    <row r="2" spans="1:2">
      <c r="A2" s="231" t="s">
        <v>277</v>
      </c>
      <c r="B2" s="231"/>
    </row>
    <row r="3" spans="1:2" ht="45.75" customHeight="1">
      <c r="A3" s="4">
        <v>1</v>
      </c>
      <c r="B3" s="5" t="s">
        <v>278</v>
      </c>
    </row>
    <row r="4" spans="1:2" ht="45.75" customHeight="1">
      <c r="A4" s="4">
        <v>2</v>
      </c>
      <c r="B4" s="5" t="s">
        <v>279</v>
      </c>
    </row>
    <row r="5" spans="1:2" s="1" customFormat="1" ht="29.25" customHeight="1">
      <c r="A5" s="4">
        <v>3</v>
      </c>
      <c r="B5" s="6" t="s">
        <v>280</v>
      </c>
    </row>
    <row r="6" spans="1:2" ht="45.75" customHeight="1">
      <c r="A6" s="4">
        <v>4</v>
      </c>
      <c r="B6" s="5" t="s">
        <v>281</v>
      </c>
    </row>
    <row r="7" spans="1:2" s="1" customFormat="1" ht="45.75" customHeight="1">
      <c r="A7" s="4">
        <v>5</v>
      </c>
      <c r="B7" s="6" t="s">
        <v>282</v>
      </c>
    </row>
    <row r="8" spans="1:2">
      <c r="A8" s="2" t="s">
        <v>283</v>
      </c>
      <c r="B8" s="5" t="s">
        <v>284</v>
      </c>
    </row>
    <row r="9" spans="1:2">
      <c r="A9" s="2"/>
      <c r="B9" s="5"/>
    </row>
    <row r="13" spans="1:2">
      <c r="B13" s="7"/>
    </row>
    <row r="14" spans="1:2">
      <c r="B14" s="7"/>
    </row>
    <row r="15" spans="1:2">
      <c r="B15" s="7"/>
    </row>
  </sheetData>
  <mergeCells count="1">
    <mergeCell ref="A2:B2"/>
  </mergeCells>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bb59413-afb5-4b9b-85e8-61d2b74a5666">
      <Terms xmlns="http://schemas.microsoft.com/office/infopath/2007/PartnerControls"/>
    </lcf76f155ced4ddcb4097134ff3c332f>
    <TaxCatchAll xmlns="4faae966-7260-43d3-ae92-efca4c8c38c2"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19C90FBB319384E9453BC654633A1BE" ma:contentTypeVersion="18" ma:contentTypeDescription="Create a new document." ma:contentTypeScope="" ma:versionID="f12f626cb4656acfa57bc6e2f51cc2d0">
  <xsd:schema xmlns:xsd="http://www.w3.org/2001/XMLSchema" xmlns:xs="http://www.w3.org/2001/XMLSchema" xmlns:p="http://schemas.microsoft.com/office/2006/metadata/properties" xmlns:ns2="3bb59413-afb5-4b9b-85e8-61d2b74a5666" xmlns:ns3="4faae966-7260-43d3-ae92-efca4c8c38c2" targetNamespace="http://schemas.microsoft.com/office/2006/metadata/properties" ma:root="true" ma:fieldsID="893be911098693cceb085112851dd985" ns2:_="" ns3:_="">
    <xsd:import namespace="3bb59413-afb5-4b9b-85e8-61d2b74a5666"/>
    <xsd:import namespace="4faae966-7260-43d3-ae92-efca4c8c38c2"/>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ServiceAutoKeyPoints" minOccurs="0"/>
                <xsd:element ref="ns2:MediaServiceKeyPoints"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b59413-afb5-4b9b-85e8-61d2b74a566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a42d9c68-cab4-4c2b-b9bf-2edd401046c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aae966-7260-43d3-ae92-efca4c8c38c2"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b7d0d89c-76ff-4c43-87e1-1290ff7c45d3}" ma:internalName="TaxCatchAll" ma:showField="CatchAllData" ma:web="4faae966-7260-43d3-ae92-efca4c8c38c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3121EC9-66D7-4DC6-BEA4-9CED9C3E907A}">
  <ds:schemaRefs>
    <ds:schemaRef ds:uri="http://schemas.microsoft.com/office/2006/metadata/properties"/>
    <ds:schemaRef ds:uri="http://schemas.microsoft.com/office/infopath/2007/PartnerControls"/>
    <ds:schemaRef ds:uri="3bb59413-afb5-4b9b-85e8-61d2b74a5666"/>
    <ds:schemaRef ds:uri="4faae966-7260-43d3-ae92-efca4c8c38c2"/>
  </ds:schemaRefs>
</ds:datastoreItem>
</file>

<file path=customXml/itemProps2.xml><?xml version="1.0" encoding="utf-8"?>
<ds:datastoreItem xmlns:ds="http://schemas.openxmlformats.org/officeDocument/2006/customXml" ds:itemID="{40A9B4F9-8E14-4EA3-A7B6-06FD2C2025D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bb59413-afb5-4b9b-85e8-61d2b74a5666"/>
    <ds:schemaRef ds:uri="4faae966-7260-43d3-ae92-efca4c8c38c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A2B1824-25EC-4659-9B60-9ADACE0F1C9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1-5.Manufacturer &amp; product info</vt:lpstr>
      <vt:lpstr>6-8.Ingre&amp;Nutrition&amp;Allergens</vt:lpstr>
      <vt:lpstr>9-13.Quality Attributes </vt:lpstr>
      <vt:lpstr>14-16.Quantity&amp;packaging info</vt:lpstr>
      <vt:lpstr>17-20.HACCP,Artwork&amp;SpecAuthor.</vt:lpstr>
      <vt:lpstr>22 USPs</vt:lpstr>
      <vt:lpstr>'14-16.Quantity&amp;packaging info'!Print_Area</vt:lpstr>
      <vt:lpstr>'1-5.Manufacturer &amp; product info'!Print_Area</vt:lpstr>
      <vt:lpstr>'17-20.HACCP,Artwork&amp;SpecAuthor.'!Print_Area</vt:lpstr>
      <vt:lpstr>'6-8.Ingre&amp;Nutrition&amp;Allergens'!Print_Area</vt:lpstr>
      <vt:lpstr>'9-13.Quality Attributes '!Print_Area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hsuan</dc:creator>
  <cp:lastModifiedBy>Taiki Minakuchi</cp:lastModifiedBy>
  <dcterms:created xsi:type="dcterms:W3CDTF">2020-04-04T18:32:00Z</dcterms:created>
  <dcterms:modified xsi:type="dcterms:W3CDTF">2026-03-04T11:40:36Z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0x010100A19C90FBB319384E9453BC654633A1BE</vt:lpwstr>
  </property>
  <property fmtid="{D5CDD505-2E9C-101B-9397-08002B2CF9AE}" pid="3" name="KSOProductBuildVer">
    <vt:lpwstr>2052-7.5.1.8994</vt:lpwstr>
  </property>
  <property fmtid="{D5CDD505-2E9C-101B-9397-08002B2CF9AE}" pid="4" name="ICV">
    <vt:lpwstr>E4EC78721D9AB08D9F96F367FD3D58F5_42</vt:lpwstr>
  </property>
  <property fmtid="{D5CDD505-2E9C-101B-9397-08002B2CF9AE}" pid="5" name="MediaServiceImageTags">
    <vt:lpwstr/>
  </property>
</Properties>
</file>