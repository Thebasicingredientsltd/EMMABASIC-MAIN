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ThisWorkbook"/>
  <mc:AlternateContent xmlns:mc="http://schemas.openxmlformats.org/markup-compatibility/2006">
    <mc:Choice Requires="x15">
      <x15ac:absPath xmlns:x15ac="http://schemas.microsoft.com/office/spreadsheetml/2010/11/ac" url="https://thebasic.sharepoint.com/sites/Technical2/Shared Documents/3. Product Safety &amp; Quality Management/3.6 Specifications/"/>
    </mc:Choice>
  </mc:AlternateContent>
  <xr:revisionPtr revIDLastSave="23" documentId="8_{05AC2AB8-1736-4CB9-B39A-D1AFD583A9D2}" xr6:coauthVersionLast="47" xr6:coauthVersionMax="47" xr10:uidLastSave="{9DFAE6AD-82EC-4A5A-98AD-97215C9D437B}"/>
  <bookViews>
    <workbookView xWindow="-110" yWindow="-110" windowWidth="25820" windowHeight="15380" tabRatio="953" activeTab="5" xr2:uid="{00000000-000D-0000-FFFF-FFFF00000000}"/>
  </bookViews>
  <sheets>
    <sheet name="1-5.Manufacturer &amp; product info" sheetId="1" r:id="rId1"/>
    <sheet name="6-8.Ingre&amp;Nutrition&amp;Allergens" sheetId="2" r:id="rId2"/>
    <sheet name="9-13.Quality Attributes " sheetId="11" r:id="rId3"/>
    <sheet name="14-16.Quantity&amp;packaging info" sheetId="8" r:id="rId4"/>
    <sheet name="17-21.HACCP,Artwork&amp;SpecAuthor." sheetId="5" r:id="rId5"/>
    <sheet name="22.USP &amp; Content verification" sheetId="14" r:id="rId6"/>
  </sheets>
  <definedNames>
    <definedName name="_xlnm.Print_Area" localSheetId="3">'14-16.Quantity&amp;packaging info'!$A$1:$F$32</definedName>
    <definedName name="_xlnm.Print_Area" localSheetId="0">'1-5.Manufacturer &amp; product info'!$A$1:$B$28</definedName>
    <definedName name="_xlnm.Print_Area" localSheetId="4">'17-21.HACCP,Artwork&amp;SpecAuthor.'!$A$1:$E$30</definedName>
    <definedName name="_xlnm.Print_Area" localSheetId="1">'6-8.Ingre&amp;Nutrition&amp;Allergens'!$A$1:$J$41</definedName>
    <definedName name="_xlnm.Print_Area" localSheetId="2">'9-13.Quality Attributes '!$A$1:$F$39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8" l="1"/>
  <c r="G17" i="8"/>
  <c r="C28" i="8"/>
  <c r="C29" i="8" s="1"/>
  <c r="C27" i="8"/>
  <c r="C30" i="8" s="1"/>
  <c r="B28" i="8"/>
  <c r="B29" i="8" s="1"/>
  <c r="B27" i="8"/>
  <c r="B30" i="8" s="1"/>
  <c r="K12" i="2"/>
  <c r="E5" i="2"/>
</calcChain>
</file>

<file path=xl/sharedStrings.xml><?xml version="1.0" encoding="utf-8"?>
<sst xmlns="http://schemas.openxmlformats.org/spreadsheetml/2006/main" count="497" uniqueCount="294">
  <si>
    <t>1.Product Gernal Description:</t>
  </si>
  <si>
    <r>
      <rPr>
        <sz val="12"/>
        <color theme="1"/>
        <rFont val="Calibri Light"/>
        <family val="2"/>
        <scheme val="major"/>
      </rPr>
      <t>Product Name:</t>
    </r>
    <r>
      <rPr>
        <sz val="10"/>
        <color theme="1"/>
        <rFont val="Calibri Light"/>
        <family val="2"/>
        <scheme val="major"/>
      </rPr>
      <t xml:space="preserve">
* must match with the declared name on product package &amp; name in SAP</t>
    </r>
  </si>
  <si>
    <t>PURE TOASTED SESAME OIL</t>
  </si>
  <si>
    <t>Scientific name</t>
  </si>
  <si>
    <t>Sesamum Indicum (Sesame) Seed Oil</t>
  </si>
  <si>
    <t>Purchase UoM:</t>
  </si>
  <si>
    <t>12/500ml</t>
  </si>
  <si>
    <t>TBI Product Code:</t>
  </si>
  <si>
    <t>G017H</t>
  </si>
  <si>
    <t>HS Code</t>
  </si>
  <si>
    <t xml:space="preserve">2.Manufacturer Information </t>
  </si>
  <si>
    <t>Name of Manufacturer:</t>
  </si>
  <si>
    <t>Foshan Haitian (Gaoming) Flavouring &amp; Food Co., Ltd</t>
  </si>
  <si>
    <t>Address of Manufacturer:</t>
  </si>
  <si>
    <t xml:space="preserve"> Eastern Park (No. 889 Gaoming Road), Cangjiang Industrial Park, Gaoming District, Foshan, Guangdong, China</t>
  </si>
  <si>
    <r>
      <rPr>
        <sz val="12"/>
        <color theme="1"/>
        <rFont val="Calibri Light"/>
        <family val="2"/>
        <scheme val="major"/>
      </rPr>
      <t xml:space="preserve">EU Approval Number (if apply):
</t>
    </r>
    <r>
      <rPr>
        <sz val="9"/>
        <color theme="1"/>
        <rFont val="Calibri Light"/>
        <family val="2"/>
        <scheme val="major"/>
      </rPr>
      <t xml:space="preserve">*for prodcut contains </t>
    </r>
    <r>
      <rPr>
        <b/>
        <sz val="9"/>
        <color theme="1"/>
        <rFont val="Calibri Light"/>
        <family val="2"/>
        <scheme val="major"/>
      </rPr>
      <t>animal origin</t>
    </r>
    <r>
      <rPr>
        <sz val="9"/>
        <color theme="1"/>
        <rFont val="Calibri Light"/>
        <family val="2"/>
        <scheme val="major"/>
      </rPr>
      <t xml:space="preserve"> only</t>
    </r>
  </si>
  <si>
    <t>N/A</t>
  </si>
  <si>
    <t xml:space="preserve">GFSI Recoginised standard e.g. BRCGS, FSSC22000, IFS, etc.If certified indicate standards name,achieved grade and  attach the certificates &amp; reports </t>
  </si>
  <si>
    <t xml:space="preserve"> FSSC22000 scoop incl sub-packaging the sesame oil . BRC &amp; IFS scoop excl sesame oil</t>
  </si>
  <si>
    <t>Global G.A.P.</t>
  </si>
  <si>
    <t>No</t>
  </si>
  <si>
    <t>ASC</t>
  </si>
  <si>
    <t>SEDEX Member No.</t>
  </si>
  <si>
    <t>ZC5000027429</t>
  </si>
  <si>
    <t>SEDEX SMETA Report
If a SMETA audit is conducted, please indicate the audit date here and attach the report</t>
  </si>
  <si>
    <t>Audit date 2024-04-01 to 2024-04-03</t>
  </si>
  <si>
    <t xml:space="preserve">Other accreditations </t>
  </si>
  <si>
    <t>ISO22000, HACCP, ISO9001</t>
  </si>
  <si>
    <t>3.Dietary Requirements</t>
  </si>
  <si>
    <t>Product suitable for :</t>
  </si>
  <si>
    <t>*Please choose Yes/No</t>
  </si>
  <si>
    <r>
      <rPr>
        <sz val="12"/>
        <color theme="1"/>
        <rFont val="Calibri Light"/>
        <family val="2"/>
        <scheme val="major"/>
      </rPr>
      <t xml:space="preserve">Vegetarians </t>
    </r>
    <r>
      <rPr>
        <sz val="12"/>
        <color rgb="FFFF0000"/>
        <rFont val="Calibri Light"/>
        <family val="2"/>
        <scheme val="major"/>
      </rPr>
      <t>(Contains no animal product but may contain animal-derived ingredients, e.g Milk &amp; egg)</t>
    </r>
  </si>
  <si>
    <t>Yes</t>
  </si>
  <si>
    <r>
      <rPr>
        <sz val="12"/>
        <color theme="1"/>
        <rFont val="Calibri Light"/>
        <family val="2"/>
        <scheme val="major"/>
      </rPr>
      <t>Vegans</t>
    </r>
    <r>
      <rPr>
        <sz val="12"/>
        <color rgb="FFFF0000"/>
        <rFont val="Calibri Light"/>
        <family val="2"/>
        <scheme val="major"/>
      </rPr>
      <t xml:space="preserve"> (Contains no animal product and derived ingredients)</t>
    </r>
  </si>
  <si>
    <t>Halal (check certificate scop)</t>
  </si>
  <si>
    <t>Kosher (check certificate scop)</t>
  </si>
  <si>
    <t>4.Storage Condition&amp;Shelf Life</t>
  </si>
  <si>
    <t>Storage Condition: Ambient product must include once opened how to store and consum within how many days , Frozen product must include once defrosted temperature range (°C)  &amp; consum within how many days under chilled</t>
  </si>
  <si>
    <r>
      <rPr>
        <sz val="12"/>
        <rFont val="Calibri Light"/>
        <family val="2"/>
        <scheme val="major"/>
      </rPr>
      <t xml:space="preserve">Storage condition: Please store the product in a cool, dry place away from direct sunlight and consume soon.
</t>
    </r>
    <r>
      <rPr>
        <sz val="12"/>
        <color rgb="FFFF0000"/>
        <rFont val="Calibri Light"/>
        <family val="2"/>
        <scheme val="major"/>
      </rPr>
      <t>Cloudiness, sedimentation, or solidification may occur after long storage or at low temperatures. These are natural phenomena of edible oil and do not affect product quality.</t>
    </r>
  </si>
  <si>
    <t>Total Shelf Life from Production</t>
  </si>
  <si>
    <t>24  monthes</t>
  </si>
  <si>
    <t>Disclaimer:
The product retains its safety and intended quality within the indicated shelf life of 24 months when stored as recommended.
Minor changes in aroma intensity or slight sediment formation may occur during storage due to the natural properties of sesame oil.
Such variations are normal and do not indicate product deterioration.</t>
  </si>
  <si>
    <t>Date Code Format E.g. DD/MM/YY</t>
  </si>
  <si>
    <t>DD/MM/YYYY</t>
  </si>
  <si>
    <t xml:space="preserve">5.Instructions for Use </t>
  </si>
  <si>
    <t>Dipping, drizzling and stir-frying.</t>
  </si>
  <si>
    <t>6.Product Composition</t>
  </si>
  <si>
    <t>Ingredients</t>
  </si>
  <si>
    <t>Components</t>
  </si>
  <si>
    <t>% 
Composition</t>
  </si>
  <si>
    <t>Supplier Names</t>
  </si>
  <si>
    <t>Country of Origin</t>
  </si>
  <si>
    <t>Genetically modified?</t>
  </si>
  <si>
    <r>
      <rPr>
        <sz val="8"/>
        <color theme="1"/>
        <rFont val="Calibri Light"/>
        <family val="2"/>
        <scheme val="major"/>
      </rPr>
      <t xml:space="preserve">(Including </t>
    </r>
    <r>
      <rPr>
        <b/>
        <sz val="8"/>
        <color theme="1"/>
        <rFont val="Calibri Light"/>
        <family val="2"/>
        <scheme val="major"/>
      </rPr>
      <t>E numbers</t>
    </r>
    <r>
      <rPr>
        <sz val="8"/>
        <color theme="1"/>
        <rFont val="Calibri Light"/>
        <family val="2"/>
        <scheme val="major"/>
      </rPr>
      <t xml:space="preserve"> and </t>
    </r>
    <r>
      <rPr>
        <sz val="8"/>
        <color rgb="FFFF0000"/>
        <rFont val="Calibri Light"/>
        <family val="2"/>
        <scheme val="major"/>
      </rPr>
      <t>*</t>
    </r>
    <r>
      <rPr>
        <b/>
        <sz val="8"/>
        <color rgb="FFFF0000"/>
        <rFont val="Calibri Light"/>
        <family val="2"/>
        <scheme val="major"/>
      </rPr>
      <t>functions</t>
    </r>
    <r>
      <rPr>
        <sz val="8"/>
        <color theme="1"/>
        <rFont val="Calibri Light"/>
        <family val="2"/>
        <scheme val="major"/>
      </rPr>
      <t xml:space="preserve"> for additives)</t>
    </r>
  </si>
  <si>
    <t>(if ingredient is composed of several sub-ingredients)</t>
  </si>
  <si>
    <r>
      <rPr>
        <sz val="8"/>
        <color theme="1"/>
        <rFont val="Calibri Light"/>
        <family val="2"/>
        <scheme val="major"/>
      </rPr>
      <t xml:space="preserve">(Please list the ingredients </t>
    </r>
    <r>
      <rPr>
        <b/>
        <sz val="8"/>
        <color theme="1"/>
        <rFont val="Calibri Light"/>
        <family val="2"/>
        <scheme val="major"/>
      </rPr>
      <t>in descending order</t>
    </r>
    <r>
      <rPr>
        <sz val="8"/>
        <color theme="1"/>
        <rFont val="Calibri Light"/>
        <family val="2"/>
        <scheme val="major"/>
      </rPr>
      <t>)</t>
    </r>
  </si>
  <si>
    <t>(Please list all suppliers per ingredient)</t>
  </si>
  <si>
    <t>SESAME SEED OIL</t>
  </si>
  <si>
    <t>HAITIAN
YAN ZHUANG</t>
  </si>
  <si>
    <t>Togo，Niger，Ethiopia</t>
  </si>
  <si>
    <t>NO</t>
  </si>
  <si>
    <t>Total</t>
  </si>
  <si>
    <t>* If any processing aid is used, please explain here: Perlite(Pearl rock) — food grade, used as a processing aid for filtration.</t>
  </si>
  <si>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</si>
  <si>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7.Nutritional Information</t>
  </si>
  <si>
    <t>* Not Mandatory</t>
  </si>
  <si>
    <t>Typical Values (g)</t>
  </si>
  <si>
    <t>Per 100g/100ml</t>
  </si>
  <si>
    <t xml:space="preserve">Energy (Kcal/KJ) </t>
  </si>
  <si>
    <t>Kcal: 828
KJ: 3404</t>
  </si>
  <si>
    <t>Fat</t>
  </si>
  <si>
    <t>92g</t>
  </si>
  <si>
    <t xml:space="preserve">   of which saturate fat</t>
  </si>
  <si>
    <t>14g</t>
  </si>
  <si>
    <t xml:space="preserve">   of which monounsaturated fat*</t>
  </si>
  <si>
    <t xml:space="preserve">   of which, polyunsaturated fat*</t>
  </si>
  <si>
    <t>Carbohydrate</t>
  </si>
  <si>
    <t>0g</t>
  </si>
  <si>
    <t xml:space="preserve">   of which sugar</t>
  </si>
  <si>
    <t xml:space="preserve">   of which Polyols*</t>
  </si>
  <si>
    <t xml:space="preserve">   of which starch*</t>
  </si>
  <si>
    <t>Fibre*</t>
  </si>
  <si>
    <t>Protein</t>
  </si>
  <si>
    <t>Salt</t>
  </si>
  <si>
    <t>NOTE: Must attach lab analyses report</t>
  </si>
  <si>
    <t>8.The fourteen Allergens – Regulation (EU) No 1169/2011</t>
  </si>
  <si>
    <t>Potential Component</t>
  </si>
  <si>
    <t xml:space="preserve">Product contains? </t>
  </si>
  <si>
    <t>Handled on same site?</t>
  </si>
  <si>
    <t xml:space="preserve">Handled on same Production line ? </t>
  </si>
  <si>
    <t>Measures to prevent Cross-contamination in Place ?</t>
  </si>
  <si>
    <t xml:space="preserve">PAL/May Contain statement needed? </t>
  </si>
  <si>
    <t>*Please tick in the box</t>
  </si>
  <si>
    <t>Yes/No</t>
  </si>
  <si>
    <t>01</t>
  </si>
  <si>
    <r>
      <rPr>
        <sz val="12"/>
        <color rgb="FF000000"/>
        <rFont val="Calibri Light"/>
        <family val="2"/>
      </rPr>
      <t xml:space="preserve">Cereals containing gluten
</t>
    </r>
    <r>
      <rPr>
        <sz val="10"/>
        <color rgb="FF000000"/>
        <rFont val="Calibri Light"/>
        <family val="2"/>
      </rPr>
      <t>including wheat, Rye, Barley, Oats, Spelt &amp; Khorasan and products thereof:</t>
    </r>
  </si>
  <si>
    <t>YES</t>
  </si>
  <si>
    <t>02</t>
  </si>
  <si>
    <t>Crustaceans and products thereof:</t>
  </si>
  <si>
    <t>03</t>
  </si>
  <si>
    <t>Fish and products thereof:</t>
  </si>
  <si>
    <t>04</t>
  </si>
  <si>
    <t>Molluscs and products thereof:</t>
  </si>
  <si>
    <t>05</t>
  </si>
  <si>
    <t>Peanuts and products thereof:</t>
  </si>
  <si>
    <t>06</t>
  </si>
  <si>
    <t>Soybeans and products thereof:</t>
  </si>
  <si>
    <t>07</t>
  </si>
  <si>
    <t>Milk and products thereof:</t>
  </si>
  <si>
    <t>08</t>
  </si>
  <si>
    <t>Nuts and products thereof:</t>
  </si>
  <si>
    <t>09</t>
  </si>
  <si>
    <t>Celery and products thereof:</t>
  </si>
  <si>
    <t>10</t>
  </si>
  <si>
    <t>Mustard and products thereof:</t>
  </si>
  <si>
    <t>11</t>
  </si>
  <si>
    <t>Sesame seeds and products thereof:</t>
  </si>
  <si>
    <t>12</t>
  </si>
  <si>
    <t>Sulphur Dioxide or Sulphites:</t>
  </si>
  <si>
    <t>13</t>
  </si>
  <si>
    <t>Lupin and products thereof:</t>
  </si>
  <si>
    <t>14</t>
  </si>
  <si>
    <t>Egg and products thereof:</t>
  </si>
  <si>
    <t>9.Chemical Standard &amp; Harmful Contamination</t>
  </si>
  <si>
    <r>
      <rPr>
        <b/>
        <sz val="12"/>
        <color theme="1"/>
        <rFont val="Calibri Light"/>
        <family val="2"/>
        <scheme val="major"/>
      </rPr>
      <t>Test Item</t>
    </r>
    <r>
      <rPr>
        <sz val="12"/>
        <color theme="1"/>
        <rFont val="Calibri Light"/>
        <family val="2"/>
        <scheme val="major"/>
      </rPr>
      <t xml:space="preserve">
Depends on the products, different pesticides, heavy metals, chemicals should be monitord. Fill in the items to be monitored according to the likely risk of contamination ; Example : Cadmium in seaweed, Acidity in sushi ginger </t>
    </r>
  </si>
  <si>
    <t>EU MRL standard/Recommendation</t>
  </si>
  <si>
    <t>Country of Origin MRL Standard</t>
  </si>
  <si>
    <t>COA frequency</t>
  </si>
  <si>
    <t>Total Arsenic</t>
  </si>
  <si>
    <t>0.1 mg/kg</t>
  </si>
  <si>
    <t>every 6 months</t>
  </si>
  <si>
    <t>Lead</t>
  </si>
  <si>
    <t>0.1mg/kg</t>
  </si>
  <si>
    <t>Mercury</t>
  </si>
  <si>
    <t>every 12 months</t>
  </si>
  <si>
    <t>Glycidyl esters 缩水甘油酯</t>
  </si>
  <si>
    <t>1000 µg/kg - ppb</t>
  </si>
  <si>
    <t>≤ 1.0 mg/kg</t>
  </si>
  <si>
    <t>3-MCPD</t>
  </si>
  <si>
    <t>2500 µg/kg - ppb</t>
  </si>
  <si>
    <t>10.Acrylamide</t>
  </si>
  <si>
    <t xml:space="preserve">Are Products at risk of acrylamide? </t>
  </si>
  <si>
    <t>If Yes. What mitigation measures are in place to manage acrylamide levels with the food?</t>
  </si>
  <si>
    <t>11.Radioactivity</t>
  </si>
  <si>
    <t>*occurs naturally in all food and can be transferred into food in different ways eg crops from soil, drinking water from the earth, Fish and Shellfish from the water or Sea floor.</t>
  </si>
  <si>
    <t xml:space="preserve">Has the product/ ingredient been irradiated? </t>
  </si>
  <si>
    <t>Is the product/ ingredient subject to potential radioactive cross contamination?</t>
  </si>
  <si>
    <t xml:space="preserve">              If yes, what controls in place</t>
  </si>
  <si>
    <t xml:space="preserve">Has the product/ ingredient been imported into the UK from a country that has high levels of radioactivity? </t>
  </si>
  <si>
    <t xml:space="preserve">              If Yes, how is this controlled and what checks are carried out?</t>
  </si>
  <si>
    <t>12.Microbiology Standards</t>
  </si>
  <si>
    <t>*Please insert GB standard</t>
  </si>
  <si>
    <t>Micro-organisms</t>
  </si>
  <si>
    <t>Type</t>
  </si>
  <si>
    <t>EU Standard</t>
  </si>
  <si>
    <t>Country of Origin Government Standard</t>
  </si>
  <si>
    <t>Manufacturer Own Standard</t>
  </si>
  <si>
    <t>COA Frequency</t>
  </si>
  <si>
    <t>TVC</t>
  </si>
  <si>
    <t>Quality Indicator</t>
  </si>
  <si>
    <t>*please clarify by filling in how many samples per day/PO rather than by each lot</t>
  </si>
  <si>
    <t>Coliforms</t>
  </si>
  <si>
    <t>Hygiene indicator</t>
  </si>
  <si>
    <t>Escherichia coli</t>
  </si>
  <si>
    <t>Enterobacteriaceae</t>
  </si>
  <si>
    <t>&lt;1000CFU/g</t>
  </si>
  <si>
    <t>annually</t>
  </si>
  <si>
    <t>Listeria spp</t>
  </si>
  <si>
    <t>Listeria monocytogenes</t>
  </si>
  <si>
    <t>Pathogens</t>
  </si>
  <si>
    <t>ND</t>
  </si>
  <si>
    <t>Campylobacter spp.</t>
  </si>
  <si>
    <t>Escherichia coli O157</t>
  </si>
  <si>
    <t>Salmonella spp.</t>
  </si>
  <si>
    <t>ND in 25g</t>
  </si>
  <si>
    <t xml:space="preserve">Shigella spp. </t>
  </si>
  <si>
    <t xml:space="preserve">Vibrio cholera (O1 and O139) </t>
  </si>
  <si>
    <t>Vibrio parahaemolyticus</t>
  </si>
  <si>
    <t xml:space="preserve">Bacillus cereus </t>
  </si>
  <si>
    <t>Bacillus spp.</t>
  </si>
  <si>
    <t>Clostridium perfringens</t>
  </si>
  <si>
    <t>Staphylococcus aureus and other coagulase-positive staphylococci</t>
  </si>
  <si>
    <t>Yeast and Mould</t>
  </si>
  <si>
    <t>13.Acceptance and Rejection standard</t>
  </si>
  <si>
    <r>
      <rPr>
        <b/>
        <sz val="12"/>
        <color theme="1"/>
        <rFont val="Calibri Light"/>
        <family val="2"/>
        <scheme val="major"/>
      </rPr>
      <t>Standard Product Photo</t>
    </r>
    <r>
      <rPr>
        <b/>
        <sz val="12"/>
        <color rgb="FF000000"/>
        <rFont val="Calibri Light"/>
        <family val="2"/>
        <scheme val="major"/>
      </rPr>
      <t xml:space="preserve"> &amp; Description </t>
    </r>
  </si>
  <si>
    <t>Rejected Product Photo&amp; Description</t>
  </si>
  <si>
    <t>IE. Grading, Sizing, Appearance, Flavor/taste, Texture, Colour, smell</t>
  </si>
  <si>
    <t>Appearance: Clear and transparent（20℃）.
Colour: Orange yellow, orange red to brownish red.
Flavor/Taste: Having a strong inherent flavor of sesame oil, with a good taste and no off flavor.
Texture: Free from visible insoluble impurities，under long-term standing or low-temperature conditions, precipitation, cloudiness, or even freezing may occur.
Smell: Having a strong inherent aroma of sesame oil.</t>
  </si>
  <si>
    <t>Appearance: Containing visible foreign matter.
Colour: Unusually dark or light, uneven color.
Flavor/Taste:Having a noticeable burnt, oxidized, rancid, or other unpleasant taste.
Texture: Containing visible insoluble impurities，or abnormal viscosity.
Smell: Showing unpleasant, rancid, or sour odor.</t>
  </si>
  <si>
    <t xml:space="preserve">14.Quantity Attributes </t>
  </si>
  <si>
    <t>Unit (kg)</t>
  </si>
  <si>
    <t>Case (kg)</t>
  </si>
  <si>
    <r>
      <rPr>
        <sz val="11"/>
        <color theme="1"/>
        <rFont val="Calibri Light"/>
        <family val="2"/>
        <scheme val="major"/>
      </rPr>
      <t xml:space="preserve">Unit Drained Weight
</t>
    </r>
    <r>
      <rPr>
        <sz val="10"/>
        <color theme="1"/>
        <rFont val="Calibri Light"/>
        <family val="2"/>
        <scheme val="major"/>
      </rPr>
      <t xml:space="preserve">(If Product contains liquid) </t>
    </r>
  </si>
  <si>
    <t>Net  Weight</t>
  </si>
  <si>
    <t>Gross Weight</t>
  </si>
  <si>
    <t>Is the product packed in a Protective atmosphere?
(if yes, indicate the composition on gases used if applicable)</t>
  </si>
  <si>
    <t>Is the product vacuum packed?</t>
  </si>
  <si>
    <t>Primary Package Plastic Material Comply with Commission Regulation (EU) No 10/2011</t>
  </si>
  <si>
    <t>15.Packaging Weight Dimensions &amp; Container Maxi Load</t>
  </si>
  <si>
    <t>Material (plastic, cardbaord, glass, etc)</t>
  </si>
  <si>
    <r>
      <rPr>
        <sz val="11"/>
        <color theme="1"/>
        <rFont val="Calibri Light"/>
        <family val="2"/>
        <scheme val="major"/>
      </rPr>
      <t xml:space="preserve">If plastic, </t>
    </r>
    <r>
      <rPr>
        <sz val="8"/>
        <color theme="1"/>
        <rFont val="Calibri Light"/>
        <family val="2"/>
        <scheme val="major"/>
      </rPr>
      <t xml:space="preserve"> indicate the plastictypes from below 01-07</t>
    </r>
  </si>
  <si>
    <t>Weight 
(g)</t>
  </si>
  <si>
    <t xml:space="preserve">Dimensions
(mm)   </t>
  </si>
  <si>
    <t>Primary</t>
  </si>
  <si>
    <t>glass</t>
  </si>
  <si>
    <t>233g</t>
  </si>
  <si>
    <t>L</t>
  </si>
  <si>
    <t>Barcode:</t>
  </si>
  <si>
    <t>W</t>
  </si>
  <si>
    <t>H</t>
  </si>
  <si>
    <t>Secondary</t>
  </si>
  <si>
    <t>cardboard</t>
  </si>
  <si>
    <t>118g</t>
  </si>
  <si>
    <t>Tertiary</t>
  </si>
  <si>
    <t>716g</t>
  </si>
  <si>
    <t>(01)35060740660373</t>
  </si>
  <si>
    <t>20FCL Max Load without palletized</t>
  </si>
  <si>
    <t>40FCL Max Load without palletized</t>
  </si>
  <si>
    <t xml:space="preserve">16.Pallet Configuration </t>
  </si>
  <si>
    <t>UK Pallet Configuration 
(1.0m x 1.2m)</t>
  </si>
  <si>
    <t>EU Pallet Configuration 
(0.8m x 1.2m)</t>
  </si>
  <si>
    <t>Cases per layer</t>
  </si>
  <si>
    <t>Number of layers</t>
  </si>
  <si>
    <t xml:space="preserve">Cases/pallet </t>
  </si>
  <si>
    <t>Pallet height (m)</t>
  </si>
  <si>
    <t>Total Pallet height including pallets base 0.145m</t>
  </si>
  <si>
    <t>Pallet weight (kg)</t>
  </si>
  <si>
    <t>Pallet Top-View</t>
  </si>
  <si>
    <t>*pallet height must lower than 1.75m &amp; gross weight under 1000kg</t>
  </si>
  <si>
    <t>* Pallet itself height 14.5cm</t>
  </si>
  <si>
    <t>17.Process Flow Chart- (showing all CCPs)</t>
  </si>
  <si>
    <t>Please provide in the form a Critical Control Point (CCP), a description of the process/packing operations including processing times tempuratures where applicable and in process Safery Control Checks (CCP Summary) and Quality Checks.　</t>
  </si>
  <si>
    <t>Raw sesame seed (CCP1) → Cleaning and sieving → Toasting (CCP2) → Physical pressing → Filtration （Oil residue separation）→ Storage and sedimentation → Fine filtration → Finished oil inspection (CCP3) → Filling → Product inspection → Product storage</t>
  </si>
  <si>
    <t>18.Critical Control Points</t>
  </si>
  <si>
    <t>CCP</t>
  </si>
  <si>
    <t>Control Measure</t>
  </si>
  <si>
    <t>Critical Limit</t>
  </si>
  <si>
    <t>Monitoring Frequency</t>
  </si>
  <si>
    <t>Raw sesame seed</t>
  </si>
  <si>
    <t>Self-inspection, verification of supplier qualification and testing reports.</t>
  </si>
  <si>
    <t>Aflatoxin B1;
Impurities ; Moisture meet the raw material standards</t>
  </si>
  <si>
    <t>Each batch</t>
  </si>
  <si>
    <t>Toasting</t>
  </si>
  <si>
    <t>Control Toasting temperature and time.</t>
  </si>
  <si>
    <t>Temperature: 200–240°C; Time: 15–30 min.</t>
  </si>
  <si>
    <t>Finished oil inspection</t>
  </si>
  <si>
    <t>Self-inspection and verification of laboratory test reports.</t>
  </si>
  <si>
    <t>Physicochemical and safety parameters meet standards.</t>
  </si>
  <si>
    <t>19.Artwork</t>
  </si>
  <si>
    <t>Inner Label / Package Design artwork</t>
  </si>
  <si>
    <t>Outer Label / Package Design artwork</t>
  </si>
  <si>
    <t>20.Packaging Photos</t>
  </si>
  <si>
    <t>Finished Product with Primary package</t>
  </si>
  <si>
    <t>Outer Case (Secondary)</t>
  </si>
  <si>
    <t>21 .Specification Authorization</t>
  </si>
  <si>
    <t>1.Product to be supplied in accordance with this agreed specification. No changes are to be made without prior knowledge and prior written agreement of The Basic Ingredients Ltd.
2.The contents of this specification are confidential and should not be disclosed to a third party without a written approval of The Basic Ingredients Ltd. 
3. Product must be fit for purpose of the nature and substance stated in this specification and free from foreign body.
4. The raw materials used in this product fulfil the requirements described in the Regulation 1881/2006/EC related to contaminants in foodstuffs, the Regulation 396/2005/EC related to pesticides in foodstuffs, and their amendments.
5. The product has not been treated with ionising radiation and does not contain any irradiated ingredients- Regulated under Directive 1999/2/EC and Directive 1999/3/EC.
6. This product does not contain ingredients that contain GMO or consist of GMO or were produced from GMO - Regulated under Regulation (EC) No 1829/2003, Regulation (EC) No 1830/2003, and their amendments.
7. Products to be delivered using suitable transport in the stated conditions (i.e. ambient, chilled, frozen).
8. The information on this specification can be used without reservation to advise customers with food allergies, intolerances or aversions, especially those who may die from an anaphylactic reaction to traces of ingredients.
9. All materials intended to come into contact with foods complies with European regulations: Regulation (EC) No. 1935/2004, Regulation (EC) No. 2023/2006, Regulation (EU) No. 10/2011, Directives 82/711/EEC, 85/572/EEC, 2002/72/EEC (and the relevant amendments).</t>
  </si>
  <si>
    <t>Manufacturer Name</t>
  </si>
  <si>
    <t>Foshan Haitian Flavouring &amp; Food Co</t>
  </si>
  <si>
    <t>Signature</t>
  </si>
  <si>
    <t>Print Name</t>
  </si>
  <si>
    <t>Adam Liang</t>
  </si>
  <si>
    <t>Position in Company</t>
  </si>
  <si>
    <t xml:space="preserve">Europe Business Manager </t>
  </si>
  <si>
    <t>Date</t>
  </si>
  <si>
    <t>For and on behalf of The Basic Ingredients Ltd:</t>
  </si>
  <si>
    <t xml:space="preserve">Director </t>
  </si>
  <si>
    <t xml:space="preserve">Requirement </t>
  </si>
  <si>
    <t xml:space="preserve">Content </t>
  </si>
  <si>
    <t>In conformity with requirement ? Name &amp; verification date</t>
  </si>
  <si>
    <t>Title (Brand name +Product name+ Minimum 3 selling pints)</t>
  </si>
  <si>
    <t>Emma Basic 100% Pure Toasted Sesame Oil 500ml |  Physically Pressed | 100% Pure | Not Blended | Rich Flavour &amp; Aroma</t>
  </si>
  <si>
    <t xml:space="preserve">Title </t>
  </si>
  <si>
    <t>Comply with the complete title : Brand name +Product name+ 3 key words</t>
  </si>
  <si>
    <t xml:space="preserve">5 Selling Points ( must be 5, don’t list the product, if we don’t have 5 points) </t>
  </si>
  <si>
    <t xml:space="preserve"> USP No 1</t>
  </si>
  <si>
    <t xml:space="preserve">Match with approved spec </t>
  </si>
  <si>
    <t xml:space="preserve"> USP No 2</t>
  </si>
  <si>
    <r>
      <rPr>
        <b/>
        <sz val="11"/>
        <color theme="1"/>
        <rFont val="Calibri"/>
        <family val="2"/>
        <scheme val="minor"/>
      </rPr>
      <t>100% PURE</t>
    </r>
    <r>
      <rPr>
        <sz val="11"/>
        <color theme="1"/>
        <rFont val="Calibri"/>
        <family val="2"/>
        <scheme val="minor"/>
      </rPr>
      <t xml:space="preserve">: Made of one single ingredient: the finest roasted sesame seeds. Nothing else. This is not a blended sesame oil.
</t>
    </r>
  </si>
  <si>
    <t xml:space="preserve"> USP No 3</t>
  </si>
  <si>
    <r>
      <rPr>
        <b/>
        <sz val="11"/>
        <color theme="1"/>
        <rFont val="Calibri"/>
        <family val="2"/>
        <scheme val="minor"/>
      </rPr>
      <t>FLAVOUR &amp; AROMA</t>
    </r>
    <r>
      <rPr>
        <sz val="11"/>
        <color theme="1"/>
        <rFont val="Calibri"/>
        <family val="2"/>
        <scheme val="minor"/>
      </rPr>
      <t xml:space="preserve">: Roasting and grounding sesame seeds is an art and science that takes years of training. Only properly roasted and gently pressed sesame can produce the rich flavour and desirable nutty aroma.
</t>
    </r>
  </si>
  <si>
    <t xml:space="preserve"> USP No 4</t>
  </si>
  <si>
    <r>
      <rPr>
        <b/>
        <sz val="11"/>
        <color theme="1"/>
        <rFont val="Calibri"/>
        <family val="2"/>
        <scheme val="minor"/>
      </rPr>
      <t>AUTHENTIC ORIENTAL</t>
    </r>
    <r>
      <rPr>
        <sz val="11"/>
        <color theme="1"/>
        <rFont val="Calibri"/>
        <family val="2"/>
        <scheme val="minor"/>
      </rPr>
      <t xml:space="preserve">: This dark caramel sesame oil is widely used in Asia cuisine. It is called fragrant oil in China, usually added to dishes at the end of cooking, used in dressings for cold dishes or for marinades &amp; sauces. 
</t>
    </r>
  </si>
  <si>
    <t xml:space="preserve"> USP No 5</t>
  </si>
  <si>
    <r>
      <rPr>
        <b/>
        <sz val="11"/>
        <color theme="1"/>
        <rFont val="Calibri"/>
        <family val="2"/>
        <scheme val="minor"/>
      </rPr>
      <t>A KITCHEN STAPLE</t>
    </r>
    <r>
      <rPr>
        <sz val="11"/>
        <color theme="1"/>
        <rFont val="Calibri"/>
        <family val="2"/>
        <scheme val="minor"/>
      </rPr>
      <t xml:space="preserve">: Every kitchen needs a bottle of sesame oil. Don't settle for a sesame oil that simply doesn’t give your food the flavour boost it deserves.
</t>
    </r>
  </si>
  <si>
    <t xml:space="preserve">Ingredients </t>
  </si>
  <si>
    <t>Must mach with food labelling on the pack</t>
  </si>
  <si>
    <t xml:space="preserve">Nutrition </t>
  </si>
  <si>
    <t>Allergen &amp; APL</t>
  </si>
  <si>
    <t xml:space="preserve">Ingredients, Nutrition , Allergen match with declared food label </t>
  </si>
  <si>
    <t>Other Technical Details</t>
  </si>
  <si>
    <t xml:space="preserve">* Warning : Technical content must exactly mirror declared label ( not spec). Use copy &amp;  paste from artwork method to avoid typos. </t>
  </si>
  <si>
    <t>&lt;100</t>
  </si>
  <si>
    <t>杜一静</t>
  </si>
  <si>
    <r>
      <t>PHYSICALLY PRESSED</t>
    </r>
    <r>
      <rPr>
        <sz val="11"/>
        <color theme="1"/>
        <rFont val="Calibri"/>
        <family val="2"/>
        <scheme val="minor"/>
      </rPr>
      <t xml:space="preserve">: Physically pressed, not chemically refined. The oil from these tiny sesame seeds has many potential benefits to offer.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</si>
</sst>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5">
    <font>
      <sz val="11"/>
      <color theme="1"/>
      <name val="Calibri"/>
      <charset val="134"/>
      <scheme val="minor"/>
    </font>
    <font>
      <sz val="11"/>
      <color theme="1"/>
      <name val="Calibri"/>
      <family val="2"/>
      <scheme val="minor"/>
    </font>
    <font>
      <sz val="11"/>
      <color theme="1"/>
      <name val="Calibri"/>
      <family val="2"/>
      <scheme val="minor"/>
    </font>
    <font>
      <b/>
      <sz val="12"/>
      <color theme="1"/>
      <name val="Calibri"/>
      <family val="2"/>
      <scheme val="minor"/>
    </font>
    <font>
      <sz val="12"/>
      <color theme="1"/>
      <name val="Arial"/>
      <family val="2"/>
    </font>
    <font>
      <sz val="12"/>
      <color theme="1"/>
      <name val="Calibri"/>
      <family val="2"/>
      <scheme val="minor"/>
    </font>
    <font>
      <b/>
      <sz val="12"/>
      <color theme="1"/>
      <name val="Futura Bk BT"/>
      <family val="2"/>
    </font>
    <font>
      <b/>
      <sz val="12"/>
      <color rgb="FF000000"/>
      <name val="Arial"/>
      <family val="2"/>
    </font>
    <font>
      <b/>
      <sz val="11"/>
      <color rgb="FF000000"/>
      <name val="Calibri"/>
      <family val="2"/>
      <scheme val="minor"/>
    </font>
    <font>
      <sz val="12"/>
      <color theme="1"/>
      <name val="Futura Bk BT"/>
      <family val="2"/>
    </font>
    <font>
      <b/>
      <sz val="11"/>
      <color theme="1"/>
      <name val="Calibri"/>
      <family val="2"/>
      <scheme val="minor"/>
    </font>
    <font>
      <sz val="11"/>
      <color theme="1"/>
      <name val="Calibri Light"/>
      <family val="2"/>
      <scheme val="major"/>
    </font>
    <font>
      <b/>
      <sz val="14"/>
      <color theme="1"/>
      <name val="Calibri Light"/>
      <family val="2"/>
      <scheme val="major"/>
    </font>
    <font>
      <sz val="10"/>
      <color theme="1"/>
      <name val="Calibri Light"/>
      <family val="2"/>
      <scheme val="major"/>
    </font>
    <font>
      <i/>
      <sz val="11"/>
      <name val="Calibri Light"/>
      <family val="2"/>
      <scheme val="major"/>
    </font>
    <font>
      <i/>
      <sz val="11"/>
      <color rgb="FFFF0000"/>
      <name val="Calibri Light"/>
      <family val="2"/>
      <scheme val="major"/>
    </font>
    <font>
      <sz val="12"/>
      <color theme="1"/>
      <name val="Calibri Light"/>
      <family val="2"/>
      <scheme val="major"/>
    </font>
    <font>
      <sz val="11"/>
      <name val="Calibri Light"/>
      <family val="2"/>
      <scheme val="major"/>
    </font>
    <font>
      <b/>
      <sz val="11"/>
      <color theme="1"/>
      <name val="Calibri Light"/>
      <family val="2"/>
      <scheme val="major"/>
    </font>
    <font>
      <b/>
      <sz val="10"/>
      <name val="Calibri Light"/>
      <family val="2"/>
      <scheme val="major"/>
    </font>
    <font>
      <b/>
      <sz val="12"/>
      <color theme="1"/>
      <name val="Calibri Light"/>
      <family val="2"/>
      <scheme val="major"/>
    </font>
    <font>
      <i/>
      <sz val="11"/>
      <color theme="1"/>
      <name val="Calibri Light"/>
      <family val="2"/>
      <scheme val="major"/>
    </font>
    <font>
      <sz val="11"/>
      <color rgb="FFFF0000"/>
      <name val="Calibri Light"/>
      <family val="2"/>
      <scheme val="major"/>
    </font>
    <font>
      <i/>
      <sz val="10"/>
      <color rgb="FFFF0000"/>
      <name val="Calibri Light"/>
      <family val="2"/>
      <scheme val="major"/>
    </font>
    <font>
      <sz val="10"/>
      <color rgb="FFFF0000"/>
      <name val="Calibri Light"/>
      <family val="2"/>
      <scheme val="major"/>
    </font>
    <font>
      <sz val="12"/>
      <color rgb="FF000000"/>
      <name val="Calibri Light"/>
      <family val="2"/>
      <scheme val="major"/>
    </font>
    <font>
      <sz val="7"/>
      <color rgb="FF000000"/>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theme="1"/>
      <name val="Arial"/>
      <family val="2"/>
    </font>
    <font>
      <sz val="11"/>
      <color theme="1"/>
      <name val="Arial"/>
      <family val="2"/>
    </font>
    <font>
      <b/>
      <sz val="12"/>
      <color rgb="FF000000"/>
      <name val="Calibri Light"/>
      <family val="2"/>
      <scheme val="major"/>
    </font>
    <font>
      <sz val="8"/>
      <color rgb="FF000000"/>
      <name val="Calibri Light"/>
      <family val="2"/>
      <scheme val="major"/>
    </font>
    <font>
      <sz val="14"/>
      <color theme="1"/>
      <name val="Calibri Light"/>
      <family val="2"/>
      <scheme val="major"/>
    </font>
    <font>
      <b/>
      <sz val="7"/>
      <color rgb="FF000000"/>
      <name val="Arial"/>
      <family val="2"/>
    </font>
    <font>
      <b/>
      <sz val="9"/>
      <color theme="1"/>
      <name val="Calibri Light"/>
      <family val="2"/>
      <scheme val="major"/>
    </font>
    <font>
      <sz val="8"/>
      <color theme="1"/>
      <name val="Calibri Light"/>
      <family val="2"/>
      <scheme val="major"/>
    </font>
    <font>
      <sz val="9"/>
      <color theme="1"/>
      <name val="Calibri Light"/>
      <family val="2"/>
      <scheme val="major"/>
    </font>
    <font>
      <b/>
      <sz val="12"/>
      <name val="Calibri Light"/>
      <family val="2"/>
      <scheme val="major"/>
    </font>
    <font>
      <sz val="12"/>
      <name val="Calibri Light"/>
      <family val="2"/>
      <scheme val="major"/>
    </font>
    <font>
      <sz val="12"/>
      <color rgb="FF000000"/>
      <name val="Calibri Light"/>
      <family val="2"/>
    </font>
    <font>
      <i/>
      <sz val="10"/>
      <color rgb="FFFF0000"/>
      <name val="Calibri Light"/>
      <family val="2"/>
    </font>
    <font>
      <sz val="11"/>
      <color rgb="FF000000"/>
      <name val="Calibri Light"/>
      <family val="2"/>
    </font>
    <font>
      <sz val="11"/>
      <name val="Arial"/>
      <family val="2"/>
    </font>
    <font>
      <sz val="10"/>
      <color rgb="FF000000"/>
      <name val="Calibri Light"/>
      <family val="2"/>
    </font>
    <font>
      <sz val="12"/>
      <color rgb="FFFF0000"/>
      <name val="Calibri Light"/>
      <family val="2"/>
      <scheme val="major"/>
    </font>
    <font>
      <b/>
      <sz val="8"/>
      <color theme="1"/>
      <name val="Calibri Light"/>
      <family val="2"/>
      <scheme val="major"/>
    </font>
    <font>
      <sz val="8"/>
      <color rgb="FFFF0000"/>
      <name val="Calibri Light"/>
      <family val="2"/>
      <scheme val="major"/>
    </font>
    <font>
      <b/>
      <sz val="8"/>
      <color rgb="FFFF0000"/>
      <name val="Calibri Light"/>
      <family val="2"/>
      <scheme val="major"/>
    </font>
    <font>
      <sz val="11"/>
      <color theme="1"/>
      <name val="Calibri"/>
      <family val="2"/>
      <scheme val="minor"/>
    </font>
    <font>
      <b/>
      <sz val="10"/>
      <color theme="1"/>
      <name val="Arial"/>
      <family val="2"/>
    </font>
    <font>
      <b/>
      <sz val="11"/>
      <color rgb="FF000000"/>
      <name val="Calibri Light"/>
      <family val="2"/>
    </font>
    <font>
      <sz val="11"/>
      <color theme="1"/>
      <name val="Calibri Light"/>
      <family val="2"/>
      <scheme val="major"/>
    </font>
  </fonts>
  <fills count="10">
    <fill>
      <patternFill patternType="none"/>
    </fill>
    <fill>
      <patternFill patternType="gray125"/>
    </fill>
    <fill>
      <patternFill patternType="solid">
        <fgColor theme="9"/>
        <bgColor indexed="64"/>
      </patternFill>
    </fill>
    <fill>
      <patternFill patternType="solid">
        <fgColor theme="9" tint="0.59999389629810485"/>
        <bgColor indexed="64"/>
      </patternFill>
    </fill>
    <fill>
      <patternFill patternType="solid">
        <fgColor rgb="FFD9D9D9"/>
        <bgColor indexed="64"/>
      </patternFill>
    </fill>
    <fill>
      <patternFill patternType="solid">
        <fgColor theme="2" tint="-9.9978637043366805E-2"/>
        <bgColor indexed="64"/>
      </patternFill>
    </fill>
    <fill>
      <patternFill patternType="solid">
        <fgColor theme="0" tint="-0.14993743705557422"/>
        <bgColor indexed="64"/>
      </patternFill>
    </fill>
    <fill>
      <patternFill patternType="solid">
        <fgColor rgb="FFFFFF00"/>
        <bgColor indexed="64"/>
      </patternFill>
    </fill>
    <fill>
      <patternFill patternType="solid">
        <fgColor rgb="FFC6E0B4"/>
        <bgColor rgb="FFC6E0B4"/>
      </patternFill>
    </fill>
    <fill>
      <patternFill patternType="solid">
        <fgColor theme="0"/>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theme="0"/>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51" fillId="0" borderId="0"/>
  </cellStyleXfs>
  <cellXfs count="183">
    <xf numFmtId="0" fontId="0" fillId="0" borderId="0" xfId="0"/>
    <xf numFmtId="0" fontId="3" fillId="2" borderId="1" xfId="0" applyFont="1" applyFill="1" applyBorder="1" applyAlignment="1">
      <alignment wrapText="1"/>
    </xf>
    <xf numFmtId="0" fontId="4" fillId="3" borderId="1" xfId="0" applyFont="1" applyFill="1" applyBorder="1" applyAlignment="1">
      <alignment vertical="center" wrapText="1"/>
    </xf>
    <xf numFmtId="0" fontId="0" fillId="0" borderId="1" xfId="0" applyBorder="1" applyAlignment="1">
      <alignment horizontal="left" vertical="center" wrapText="1"/>
    </xf>
    <xf numFmtId="0" fontId="5" fillId="0" borderId="1" xfId="0" applyFont="1" applyBorder="1" applyAlignment="1">
      <alignment wrapText="1"/>
    </xf>
    <xf numFmtId="0" fontId="6" fillId="0" borderId="1" xfId="0" applyFont="1" applyBorder="1" applyAlignment="1">
      <alignment horizontal="lef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0" fontId="10" fillId="0" borderId="1" xfId="0" applyFont="1" applyBorder="1" applyAlignment="1">
      <alignment horizontal="left" vertical="center" wrapText="1"/>
    </xf>
    <xf numFmtId="0" fontId="3" fillId="0" borderId="2" xfId="0" applyFont="1" applyBorder="1"/>
    <xf numFmtId="0" fontId="11" fillId="0" borderId="0" xfId="0" applyFont="1"/>
    <xf numFmtId="0" fontId="11" fillId="0" borderId="0" xfId="0" applyFont="1" applyAlignment="1">
      <alignment vertical="center"/>
    </xf>
    <xf numFmtId="0" fontId="12" fillId="0" borderId="0" xfId="0" applyFont="1" applyAlignment="1">
      <alignment horizontal="left"/>
    </xf>
    <xf numFmtId="0" fontId="13" fillId="3" borderId="1" xfId="0" applyFont="1" applyFill="1" applyBorder="1" applyAlignment="1">
      <alignment horizontal="left" vertical="center" wrapText="1"/>
    </xf>
    <xf numFmtId="0" fontId="13" fillId="0" borderId="0" xfId="0" applyFont="1" applyAlignment="1">
      <alignment horizontal="left" vertical="center" wrapText="1"/>
    </xf>
    <xf numFmtId="0" fontId="15" fillId="0" borderId="0" xfId="0" applyFont="1" applyAlignment="1">
      <alignment horizontal="left" vertical="top"/>
    </xf>
    <xf numFmtId="0" fontId="16" fillId="3" borderId="1" xfId="0" applyFont="1" applyFill="1" applyBorder="1" applyAlignment="1">
      <alignment horizontal="center" vertical="center" wrapText="1"/>
    </xf>
    <xf numFmtId="0" fontId="16" fillId="0" borderId="0" xfId="0" applyFont="1" applyAlignment="1">
      <alignment horizontal="center" vertical="center" wrapText="1"/>
    </xf>
    <xf numFmtId="0" fontId="11" fillId="0" borderId="1" xfId="0" applyFont="1" applyBorder="1" applyAlignment="1">
      <alignment horizontal="left" vertical="center" wrapText="1"/>
    </xf>
    <xf numFmtId="0" fontId="11" fillId="0" borderId="3" xfId="0" applyFont="1" applyBorder="1" applyAlignment="1">
      <alignment horizontal="left" vertical="center" wrapText="1"/>
    </xf>
    <xf numFmtId="0" fontId="12" fillId="0" borderId="0" xfId="0" applyFont="1"/>
    <xf numFmtId="0" fontId="17" fillId="0" borderId="0" xfId="0" applyFont="1"/>
    <xf numFmtId="0" fontId="11" fillId="3" borderId="1" xfId="0" applyFont="1" applyFill="1" applyBorder="1" applyAlignment="1">
      <alignment horizontal="center" vertical="center" wrapText="1"/>
    </xf>
    <xf numFmtId="0" fontId="11" fillId="0" borderId="0" xfId="0" applyFont="1" applyAlignment="1">
      <alignment horizontal="center" vertical="center" wrapText="1"/>
    </xf>
    <xf numFmtId="0" fontId="11" fillId="0" borderId="1" xfId="0" applyFont="1" applyBorder="1" applyAlignment="1">
      <alignment horizontal="left" vertical="center"/>
    </xf>
    <xf numFmtId="0" fontId="11" fillId="0" borderId="0" xfId="0" applyFont="1" applyAlignment="1">
      <alignment horizontal="center" vertical="center"/>
    </xf>
    <xf numFmtId="0" fontId="18" fillId="3" borderId="1" xfId="0" applyFont="1" applyFill="1" applyBorder="1" applyAlignment="1">
      <alignment horizontal="center" vertical="center" wrapText="1"/>
    </xf>
    <xf numFmtId="0" fontId="18" fillId="0" borderId="0" xfId="0" applyFont="1" applyAlignment="1">
      <alignment horizontal="center" vertical="center" wrapText="1"/>
    </xf>
    <xf numFmtId="0" fontId="11" fillId="0" borderId="1" xfId="0" applyFont="1" applyBorder="1" applyAlignment="1">
      <alignment horizontal="center" vertical="center"/>
    </xf>
    <xf numFmtId="0" fontId="18" fillId="0" borderId="0" xfId="0" applyFont="1" applyAlignment="1">
      <alignment horizontal="center" wrapText="1"/>
    </xf>
    <xf numFmtId="0" fontId="11" fillId="3" borderId="1" xfId="0" applyFont="1" applyFill="1" applyBorder="1" applyAlignment="1">
      <alignment vertical="center" wrapText="1"/>
    </xf>
    <xf numFmtId="0" fontId="11" fillId="0" borderId="0" xfId="0" applyFont="1" applyAlignment="1">
      <alignment vertical="center" wrapText="1"/>
    </xf>
    <xf numFmtId="0" fontId="20" fillId="0" borderId="0" xfId="0" applyFont="1" applyAlignment="1">
      <alignment horizontal="left" vertical="center" wrapText="1"/>
    </xf>
    <xf numFmtId="0" fontId="11" fillId="5" borderId="1" xfId="0" applyFont="1" applyFill="1" applyBorder="1" applyAlignment="1">
      <alignment vertical="center" wrapText="1"/>
    </xf>
    <xf numFmtId="0" fontId="12" fillId="0" borderId="0" xfId="0" applyFont="1" applyAlignment="1">
      <alignment horizontal="left" wrapText="1"/>
    </xf>
    <xf numFmtId="0" fontId="11" fillId="0" borderId="0" xfId="0" applyFont="1" applyAlignment="1">
      <alignment horizontal="left" vertical="center" wrapText="1"/>
    </xf>
    <xf numFmtId="0" fontId="11" fillId="0" borderId="1" xfId="0" applyFont="1" applyBorder="1" applyAlignment="1">
      <alignment vertical="center" wrapText="1"/>
    </xf>
    <xf numFmtId="0" fontId="11" fillId="0" borderId="1" xfId="0" applyFont="1" applyBorder="1" applyAlignment="1">
      <alignment horizontal="center" vertical="center" wrapText="1"/>
    </xf>
    <xf numFmtId="0" fontId="11" fillId="6" borderId="1" xfId="0" applyFont="1" applyFill="1" applyBorder="1" applyAlignment="1">
      <alignment horizontal="center" vertical="center" wrapText="1"/>
    </xf>
    <xf numFmtId="0" fontId="21" fillId="0" borderId="0" xfId="0" applyFont="1" applyAlignment="1">
      <alignment horizontal="left" vertical="center" wrapText="1"/>
    </xf>
    <xf numFmtId="0" fontId="12" fillId="0" borderId="0" xfId="0" applyFont="1" applyAlignment="1">
      <alignment wrapText="1"/>
    </xf>
    <xf numFmtId="0" fontId="11" fillId="0" borderId="6" xfId="0" applyFont="1" applyBorder="1" applyAlignment="1">
      <alignment horizontal="center" vertical="center" wrapText="1"/>
    </xf>
    <xf numFmtId="0" fontId="11" fillId="3" borderId="6" xfId="0" applyFont="1" applyFill="1" applyBorder="1" applyAlignment="1">
      <alignment horizontal="center" vertical="center" wrapText="1"/>
    </xf>
    <xf numFmtId="0" fontId="18" fillId="3" borderId="6" xfId="0" applyFont="1" applyFill="1" applyBorder="1" applyAlignment="1">
      <alignment vertical="center" wrapText="1"/>
    </xf>
    <xf numFmtId="0" fontId="11" fillId="0" borderId="9" xfId="0" applyFont="1" applyBorder="1" applyAlignment="1">
      <alignment horizontal="left" vertical="center" wrapText="1"/>
    </xf>
    <xf numFmtId="0" fontId="11" fillId="3" borderId="2" xfId="0" applyFont="1" applyFill="1" applyBorder="1" applyAlignment="1">
      <alignment vertical="center" wrapText="1"/>
    </xf>
    <xf numFmtId="1" fontId="11" fillId="7" borderId="2" xfId="0" applyNumberFormat="1" applyFont="1" applyFill="1" applyBorder="1" applyAlignment="1">
      <alignment vertical="center" wrapText="1"/>
    </xf>
    <xf numFmtId="49" fontId="11" fillId="7" borderId="10" xfId="0" applyNumberFormat="1" applyFont="1" applyFill="1" applyBorder="1" applyAlignment="1">
      <alignment vertical="center" wrapText="1"/>
    </xf>
    <xf numFmtId="0" fontId="13" fillId="3" borderId="1" xfId="0" applyFont="1" applyFill="1" applyBorder="1" applyAlignment="1">
      <alignment vertical="center" wrapText="1"/>
    </xf>
    <xf numFmtId="1" fontId="11" fillId="0" borderId="3" xfId="0" applyNumberFormat="1" applyFont="1" applyBorder="1" applyAlignment="1">
      <alignment horizontal="center" vertical="center" wrapText="1"/>
    </xf>
    <xf numFmtId="1" fontId="11" fillId="0" borderId="4" xfId="0" applyNumberFormat="1" applyFont="1" applyBorder="1" applyAlignment="1">
      <alignment horizontal="center" vertical="center" wrapText="1"/>
    </xf>
    <xf numFmtId="0" fontId="11" fillId="0" borderId="0" xfId="0" applyFont="1" applyAlignment="1">
      <alignment horizontal="right" vertical="center" wrapText="1"/>
    </xf>
    <xf numFmtId="164" fontId="11" fillId="6" borderId="1" xfId="0" applyNumberFormat="1" applyFont="1" applyFill="1" applyBorder="1" applyAlignment="1">
      <alignment horizontal="center" vertical="center" wrapText="1"/>
    </xf>
    <xf numFmtId="0" fontId="22" fillId="0" borderId="1" xfId="0" applyFont="1" applyBorder="1" applyAlignment="1">
      <alignment horizontal="left" vertical="top" wrapText="1"/>
    </xf>
    <xf numFmtId="0" fontId="23" fillId="0" borderId="0" xfId="0" applyFont="1" applyAlignment="1">
      <alignment vertical="center"/>
    </xf>
    <xf numFmtId="0" fontId="24" fillId="0" borderId="0" xfId="0" applyFont="1"/>
    <xf numFmtId="0" fontId="16" fillId="6"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0" fontId="0" fillId="0" borderId="0" xfId="0" applyAlignment="1">
      <alignment horizontal="left" vertical="center" wrapText="1"/>
    </xf>
    <xf numFmtId="0" fontId="11" fillId="0" borderId="1" xfId="0" applyFont="1" applyBorder="1" applyAlignment="1">
      <alignment vertical="center"/>
    </xf>
    <xf numFmtId="0" fontId="26" fillId="0" borderId="1" xfId="0" applyFont="1" applyBorder="1"/>
    <xf numFmtId="0" fontId="23" fillId="0" borderId="0" xfId="0" applyFont="1"/>
    <xf numFmtId="0" fontId="15" fillId="0" borderId="0" xfId="0" applyFont="1"/>
    <xf numFmtId="0" fontId="27" fillId="0" borderId="1" xfId="0" applyFont="1" applyBorder="1" applyAlignment="1">
      <alignment horizontal="center" vertical="center" wrapText="1"/>
    </xf>
    <xf numFmtId="0" fontId="27" fillId="3" borderId="1" xfId="0" applyFont="1" applyFill="1" applyBorder="1" applyAlignment="1">
      <alignment horizontal="center" vertical="center" wrapText="1"/>
    </xf>
    <xf numFmtId="0" fontId="12" fillId="0" borderId="0" xfId="0" applyFont="1" applyAlignment="1">
      <alignment horizontal="left" vertical="center"/>
    </xf>
    <xf numFmtId="0" fontId="28" fillId="3" borderId="1" xfId="0" applyFont="1" applyFill="1" applyBorder="1" applyAlignment="1">
      <alignment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15" fillId="0" borderId="0" xfId="0" applyFont="1" applyAlignment="1">
      <alignment horizontal="left"/>
    </xf>
    <xf numFmtId="0" fontId="31" fillId="0" borderId="1" xfId="0" applyFont="1" applyBorder="1" applyAlignment="1">
      <alignment horizontal="center" vertical="center" wrapText="1"/>
    </xf>
    <xf numFmtId="0" fontId="32" fillId="0" borderId="0" xfId="0" applyFont="1" applyAlignment="1">
      <alignment horizontal="center" vertical="center" wrapText="1"/>
    </xf>
    <xf numFmtId="0" fontId="11" fillId="0" borderId="0" xfId="0" applyFont="1" applyAlignment="1">
      <alignment horizontal="left"/>
    </xf>
    <xf numFmtId="0" fontId="36" fillId="0" borderId="0" xfId="0" applyFont="1"/>
    <xf numFmtId="0" fontId="0" fillId="0" borderId="0" xfId="0" applyAlignment="1">
      <alignment horizontal="left" wrapText="1"/>
    </xf>
    <xf numFmtId="0" fontId="12" fillId="0" borderId="0" xfId="0" applyFont="1" applyAlignment="1">
      <alignment vertical="center"/>
    </xf>
    <xf numFmtId="0" fontId="20" fillId="3" borderId="1" xfId="0" applyFont="1" applyFill="1" applyBorder="1" applyAlignment="1">
      <alignment horizontal="center" vertical="center"/>
    </xf>
    <xf numFmtId="0" fontId="37" fillId="3" borderId="1" xfId="0" applyFont="1" applyFill="1" applyBorder="1" applyAlignment="1">
      <alignment horizontal="center" vertical="center" wrapText="1"/>
    </xf>
    <xf numFmtId="0" fontId="38" fillId="3" borderId="1" xfId="0" applyFont="1" applyFill="1" applyBorder="1" applyAlignment="1">
      <alignment horizontal="center" vertical="center" wrapText="1"/>
    </xf>
    <xf numFmtId="0" fontId="39" fillId="3" borderId="1" xfId="0" applyFont="1" applyFill="1" applyBorder="1" applyAlignment="1">
      <alignment horizontal="center" vertical="center" wrapText="1"/>
    </xf>
    <xf numFmtId="10" fontId="17" fillId="0" borderId="1" xfId="0" applyNumberFormat="1" applyFont="1" applyBorder="1" applyAlignment="1">
      <alignment horizontal="center" vertical="center" wrapText="1"/>
    </xf>
    <xf numFmtId="10" fontId="17" fillId="0" borderId="3" xfId="0" applyNumberFormat="1" applyFont="1" applyBorder="1" applyAlignment="1">
      <alignment horizontal="center" vertical="center" wrapText="1"/>
    </xf>
    <xf numFmtId="0" fontId="16" fillId="0" borderId="0" xfId="0" applyFont="1" applyAlignment="1">
      <alignment horizontal="right" vertical="center" indent="1"/>
    </xf>
    <xf numFmtId="10" fontId="11" fillId="0" borderId="0" xfId="0" applyNumberFormat="1" applyFont="1" applyAlignment="1">
      <alignment vertical="center"/>
    </xf>
    <xf numFmtId="0" fontId="23" fillId="0" borderId="0" xfId="0" applyFont="1" applyAlignment="1">
      <alignment horizontal="left" vertical="center" wrapText="1"/>
    </xf>
    <xf numFmtId="0" fontId="12" fillId="0" borderId="0" xfId="0" applyFont="1" applyAlignment="1">
      <alignment vertical="center" wrapText="1"/>
    </xf>
    <xf numFmtId="0" fontId="23" fillId="0" borderId="15" xfId="0" applyFont="1" applyBorder="1" applyAlignment="1">
      <alignment vertical="center"/>
    </xf>
    <xf numFmtId="0" fontId="23" fillId="0" borderId="0" xfId="0" applyFont="1" applyAlignment="1">
      <alignment vertical="center" wrapText="1"/>
    </xf>
    <xf numFmtId="0" fontId="15" fillId="0" borderId="0" xfId="0" applyFont="1" applyAlignment="1">
      <alignment vertical="center"/>
    </xf>
    <xf numFmtId="0" fontId="42" fillId="8" borderId="1" xfId="0" applyFont="1" applyFill="1" applyBorder="1" applyAlignment="1">
      <alignment horizontal="center" vertical="center" wrapText="1"/>
    </xf>
    <xf numFmtId="0" fontId="42" fillId="8" borderId="16" xfId="0" applyFont="1" applyFill="1" applyBorder="1" applyAlignment="1">
      <alignment vertical="center"/>
    </xf>
    <xf numFmtId="0" fontId="44" fillId="0" borderId="17" xfId="0" applyFont="1" applyBorder="1" applyAlignment="1">
      <alignment horizontal="center" vertical="center"/>
    </xf>
    <xf numFmtId="0" fontId="44" fillId="0" borderId="16" xfId="0" applyFont="1" applyBorder="1" applyAlignment="1">
      <alignment horizontal="center" vertical="center"/>
    </xf>
    <xf numFmtId="0" fontId="42" fillId="8" borderId="17" xfId="0" applyFont="1" applyFill="1" applyBorder="1" applyAlignment="1">
      <alignment vertical="center"/>
    </xf>
    <xf numFmtId="10" fontId="17" fillId="0" borderId="1" xfId="0" applyNumberFormat="1" applyFont="1" applyBorder="1" applyAlignment="1">
      <alignment vertical="center" wrapText="1"/>
    </xf>
    <xf numFmtId="0" fontId="12" fillId="0" borderId="0" xfId="0" applyFont="1" applyAlignment="1">
      <alignment horizontal="left" vertical="center" wrapText="1"/>
    </xf>
    <xf numFmtId="0" fontId="16" fillId="3" borderId="1" xfId="0" applyFont="1" applyFill="1" applyBorder="1" applyAlignment="1">
      <alignment horizontal="left" vertical="center" wrapText="1"/>
    </xf>
    <xf numFmtId="0" fontId="16" fillId="3" borderId="13" xfId="0" applyFont="1" applyFill="1" applyBorder="1" applyAlignment="1">
      <alignment horizontal="left" vertical="center" wrapText="1"/>
    </xf>
    <xf numFmtId="0" fontId="11" fillId="0" borderId="13" xfId="0" applyFont="1" applyBorder="1" applyAlignment="1">
      <alignment horizontal="left" vertical="center" wrapText="1"/>
    </xf>
    <xf numFmtId="0" fontId="12" fillId="0" borderId="13" xfId="0" applyFont="1" applyBorder="1" applyAlignment="1">
      <alignment horizontal="left" vertical="center" wrapText="1"/>
    </xf>
    <xf numFmtId="0" fontId="11" fillId="3" borderId="1" xfId="0" applyFont="1" applyFill="1" applyBorder="1" applyAlignment="1">
      <alignment horizontal="left" vertical="center" wrapText="1"/>
    </xf>
    <xf numFmtId="0" fontId="23" fillId="0" borderId="1" xfId="0" applyFont="1" applyBorder="1" applyAlignment="1">
      <alignment horizontal="left" vertical="center" wrapText="1"/>
    </xf>
    <xf numFmtId="0" fontId="41" fillId="3" borderId="1" xfId="0" applyFont="1" applyFill="1" applyBorder="1" applyAlignment="1">
      <alignment horizontal="left" vertical="center" wrapText="1"/>
    </xf>
    <xf numFmtId="0" fontId="41" fillId="0" borderId="1" xfId="0" applyFont="1" applyBorder="1" applyAlignment="1">
      <alignment horizontal="left" vertical="center" wrapText="1"/>
    </xf>
    <xf numFmtId="0" fontId="11" fillId="7" borderId="0" xfId="0" applyFont="1" applyFill="1" applyAlignment="1">
      <alignment horizontal="left" vertical="center" wrapText="1"/>
    </xf>
    <xf numFmtId="0" fontId="52" fillId="0" borderId="1" xfId="0" applyFont="1" applyBorder="1" applyAlignment="1">
      <alignment horizontal="center" vertical="center" wrapText="1"/>
    </xf>
    <xf numFmtId="0" fontId="53" fillId="0" borderId="17" xfId="0" applyFont="1" applyBorder="1" applyAlignment="1">
      <alignment horizontal="center" vertical="center"/>
    </xf>
    <xf numFmtId="1" fontId="11"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11" fillId="0" borderId="6"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10" xfId="0" applyFont="1" applyBorder="1" applyAlignment="1">
      <alignment horizontal="center" vertical="center" wrapText="1"/>
    </xf>
    <xf numFmtId="0" fontId="11" fillId="3" borderId="3" xfId="0" applyFont="1" applyFill="1" applyBorder="1" applyAlignment="1">
      <alignment horizontal="left" vertical="center" wrapText="1"/>
    </xf>
    <xf numFmtId="0" fontId="11" fillId="3" borderId="5" xfId="0" applyFont="1" applyFill="1" applyBorder="1" applyAlignment="1">
      <alignment horizontal="left" vertical="center" wrapText="1"/>
    </xf>
    <xf numFmtId="0" fontId="11" fillId="3" borderId="4" xfId="0" applyFont="1" applyFill="1" applyBorder="1" applyAlignment="1">
      <alignment horizontal="left" vertical="center" wrapText="1"/>
    </xf>
    <xf numFmtId="0" fontId="11" fillId="3" borderId="7" xfId="0" applyFont="1" applyFill="1" applyBorder="1" applyAlignment="1">
      <alignment horizontal="center" vertical="center" wrapText="1"/>
    </xf>
    <xf numFmtId="0" fontId="11" fillId="3" borderId="8" xfId="0" applyFont="1" applyFill="1" applyBorder="1" applyAlignment="1">
      <alignment horizontal="center" vertical="center" wrapText="1"/>
    </xf>
    <xf numFmtId="0" fontId="12" fillId="0" borderId="0" xfId="0" applyFont="1" applyAlignment="1">
      <alignment horizontal="left" vertical="center" wrapText="1"/>
    </xf>
    <xf numFmtId="0" fontId="45" fillId="9" borderId="1" xfId="0" applyFont="1" applyFill="1" applyBorder="1" applyAlignment="1">
      <alignment horizontal="left" vertical="center" wrapText="1"/>
    </xf>
    <xf numFmtId="0" fontId="20" fillId="3" borderId="1" xfId="0" applyFont="1" applyFill="1" applyBorder="1" applyAlignment="1">
      <alignment horizontal="center" vertical="center" wrapText="1"/>
    </xf>
    <xf numFmtId="0" fontId="23" fillId="0" borderId="0" xfId="0" applyFont="1" applyAlignment="1">
      <alignment horizontal="left" vertical="center" wrapText="1"/>
    </xf>
    <xf numFmtId="0" fontId="11" fillId="0" borderId="0" xfId="0" applyFont="1" applyAlignment="1">
      <alignment vertical="center"/>
    </xf>
    <xf numFmtId="0" fontId="0" fillId="0" borderId="0" xfId="0" applyAlignment="1">
      <alignment vertical="center"/>
    </xf>
    <xf numFmtId="0" fontId="42" fillId="0" borderId="17" xfId="0" applyFont="1" applyBorder="1" applyAlignment="1">
      <alignment horizontal="left" vertical="center" wrapText="1"/>
    </xf>
    <xf numFmtId="0" fontId="43" fillId="8" borderId="1" xfId="0" applyFont="1" applyFill="1" applyBorder="1" applyAlignment="1">
      <alignment horizontal="right" vertical="center" wrapText="1"/>
    </xf>
    <xf numFmtId="0" fontId="42" fillId="0" borderId="16" xfId="0" applyFont="1" applyBorder="1" applyAlignment="1">
      <alignment horizontal="left" vertical="center" wrapText="1"/>
    </xf>
    <xf numFmtId="0" fontId="41" fillId="0" borderId="3" xfId="0" applyFont="1" applyBorder="1" applyAlignment="1">
      <alignment horizontal="left" vertical="center" wrapText="1"/>
    </xf>
    <xf numFmtId="0" fontId="41" fillId="0" borderId="4" xfId="0" applyFont="1" applyBorder="1" applyAlignment="1">
      <alignment horizontal="left" vertical="center" wrapText="1"/>
    </xf>
    <xf numFmtId="0" fontId="41" fillId="0" borderId="3" xfId="0" applyFont="1" applyBorder="1" applyAlignment="1">
      <alignment horizontal="center" vertical="center" wrapText="1"/>
    </xf>
    <xf numFmtId="0" fontId="41" fillId="0" borderId="4" xfId="0" applyFont="1" applyBorder="1" applyAlignment="1">
      <alignment horizontal="center" vertical="center" wrapText="1"/>
    </xf>
    <xf numFmtId="0" fontId="40" fillId="0" borderId="3" xfId="0" applyFont="1" applyBorder="1" applyAlignment="1">
      <alignment horizontal="left" vertical="center" wrapText="1"/>
    </xf>
    <xf numFmtId="0" fontId="40" fillId="0" borderId="4" xfId="0" applyFont="1" applyBorder="1" applyAlignment="1">
      <alignment horizontal="left" vertical="center" wrapText="1"/>
    </xf>
    <xf numFmtId="0" fontId="0" fillId="0" borderId="1" xfId="0" applyBorder="1"/>
    <xf numFmtId="0" fontId="42" fillId="8" borderId="1" xfId="0" applyFont="1" applyFill="1" applyBorder="1" applyAlignment="1">
      <alignment horizontal="center" vertical="center" wrapText="1"/>
    </xf>
    <xf numFmtId="0" fontId="20" fillId="3" borderId="3" xfId="0" applyFont="1" applyFill="1" applyBorder="1" applyAlignment="1">
      <alignment horizontal="center" vertical="center" wrapText="1"/>
    </xf>
    <xf numFmtId="0" fontId="20" fillId="3" borderId="4" xfId="0" applyFont="1" applyFill="1" applyBorder="1" applyAlignment="1">
      <alignment horizontal="center" vertical="center" wrapText="1"/>
    </xf>
    <xf numFmtId="0" fontId="20" fillId="3" borderId="1" xfId="0" applyFont="1" applyFill="1" applyBorder="1" applyAlignment="1">
      <alignment horizontal="center" vertical="center"/>
    </xf>
    <xf numFmtId="0" fontId="38" fillId="3" borderId="1" xfId="0" applyFont="1" applyFill="1" applyBorder="1" applyAlignment="1">
      <alignment horizontal="center" vertical="center" wrapText="1"/>
    </xf>
    <xf numFmtId="0" fontId="17" fillId="0" borderId="3" xfId="0" applyFont="1" applyBorder="1" applyAlignment="1">
      <alignment horizontal="left" vertical="center" wrapText="1"/>
    </xf>
    <xf numFmtId="0" fontId="17" fillId="0" borderId="4" xfId="0" applyFont="1" applyBorder="1" applyAlignment="1">
      <alignment horizontal="left" vertical="center" wrapText="1"/>
    </xf>
    <xf numFmtId="0" fontId="34" fillId="3" borderId="10" xfId="0" applyFont="1" applyFill="1" applyBorder="1" applyAlignment="1">
      <alignment horizontal="center" vertical="center" wrapText="1"/>
    </xf>
    <xf numFmtId="0" fontId="34" fillId="3" borderId="12" xfId="0" applyFont="1" applyFill="1" applyBorder="1" applyAlignment="1">
      <alignment horizontal="center" vertical="center" wrapText="1"/>
    </xf>
    <xf numFmtId="0" fontId="34" fillId="3" borderId="13" xfId="0" applyFont="1" applyFill="1" applyBorder="1" applyAlignment="1">
      <alignment horizontal="center" vertical="center" wrapText="1"/>
    </xf>
    <xf numFmtId="0" fontId="34" fillId="3" borderId="14" xfId="0" applyFont="1" applyFill="1" applyBorder="1" applyAlignment="1">
      <alignment horizontal="center" vertical="center" wrapText="1"/>
    </xf>
    <xf numFmtId="0" fontId="35" fillId="0" borderId="1" xfId="0" applyFont="1" applyBorder="1" applyAlignment="1">
      <alignment horizontal="left" vertical="center" wrapText="1"/>
    </xf>
    <xf numFmtId="0" fontId="35" fillId="0" borderId="12" xfId="0" applyFont="1" applyBorder="1" applyAlignment="1">
      <alignment horizontal="left" vertical="center" wrapText="1"/>
    </xf>
    <xf numFmtId="0" fontId="35" fillId="0" borderId="13" xfId="0" applyFont="1" applyBorder="1" applyAlignment="1">
      <alignment horizontal="left" vertical="center" wrapText="1"/>
    </xf>
    <xf numFmtId="0" fontId="35" fillId="0" borderId="14" xfId="0" applyFont="1" applyBorder="1" applyAlignment="1">
      <alignment horizontal="left" vertical="center" wrapText="1"/>
    </xf>
    <xf numFmtId="0" fontId="20" fillId="3" borderId="6" xfId="0" applyFont="1" applyFill="1" applyBorder="1" applyAlignment="1">
      <alignment horizontal="center" vertical="center" wrapText="1"/>
    </xf>
    <xf numFmtId="0" fontId="33" fillId="3" borderId="7" xfId="0" applyFont="1" applyFill="1" applyBorder="1" applyAlignment="1">
      <alignment horizontal="center" vertical="center" wrapText="1"/>
    </xf>
    <xf numFmtId="0" fontId="33" fillId="3" borderId="11" xfId="0" applyFont="1" applyFill="1" applyBorder="1" applyAlignment="1">
      <alignment horizontal="center" vertical="center" wrapText="1"/>
    </xf>
    <xf numFmtId="0" fontId="33" fillId="3" borderId="8" xfId="0" applyFont="1" applyFill="1" applyBorder="1" applyAlignment="1">
      <alignment horizontal="center" vertical="center" wrapText="1"/>
    </xf>
    <xf numFmtId="0" fontId="0" fillId="0" borderId="3" xfId="0" applyBorder="1" applyAlignment="1">
      <alignment horizontal="left"/>
    </xf>
    <xf numFmtId="0" fontId="0" fillId="0" borderId="4" xfId="0" applyBorder="1" applyAlignment="1">
      <alignment horizontal="left"/>
    </xf>
    <xf numFmtId="0" fontId="16" fillId="3" borderId="3" xfId="0" applyFont="1" applyFill="1" applyBorder="1" applyAlignment="1">
      <alignment horizontal="left" vertical="center" wrapText="1"/>
    </xf>
    <xf numFmtId="0" fontId="16" fillId="3" borderId="5" xfId="0" applyFont="1" applyFill="1" applyBorder="1" applyAlignment="1">
      <alignment horizontal="left" vertical="center" wrapText="1"/>
    </xf>
    <xf numFmtId="0" fontId="16" fillId="3" borderId="4" xfId="0" applyFont="1" applyFill="1" applyBorder="1" applyAlignment="1">
      <alignment horizontal="left" vertical="center" wrapText="1"/>
    </xf>
    <xf numFmtId="0" fontId="23" fillId="0" borderId="0" xfId="0" applyFont="1" applyAlignment="1">
      <alignment horizontal="left" wrapText="1"/>
    </xf>
    <xf numFmtId="0" fontId="16" fillId="3" borderId="1" xfId="0" applyFont="1" applyFill="1" applyBorder="1" applyAlignment="1">
      <alignment horizontal="center" vertical="center" wrapText="1"/>
    </xf>
    <xf numFmtId="0" fontId="11" fillId="0" borderId="1" xfId="0" applyFont="1" applyBorder="1" applyAlignment="1">
      <alignment horizontal="left" vertical="center" wrapText="1"/>
    </xf>
    <xf numFmtId="0" fontId="11" fillId="0" borderId="3" xfId="0" applyFont="1" applyBorder="1" applyAlignment="1">
      <alignment horizontal="left" vertical="center" wrapText="1"/>
    </xf>
    <xf numFmtId="0" fontId="11" fillId="0" borderId="4" xfId="0" applyFont="1" applyBorder="1" applyAlignment="1">
      <alignment horizontal="left" vertical="center" wrapText="1"/>
    </xf>
    <xf numFmtId="15" fontId="11" fillId="5" borderId="1" xfId="0" applyNumberFormat="1" applyFont="1" applyFill="1" applyBorder="1" applyAlignment="1">
      <alignment horizontal="left" vertical="center" wrapText="1"/>
    </xf>
    <xf numFmtId="0" fontId="11" fillId="5" borderId="1" xfId="0" applyFont="1" applyFill="1" applyBorder="1" applyAlignment="1">
      <alignment horizontal="left" vertical="center" wrapText="1"/>
    </xf>
    <xf numFmtId="0" fontId="11" fillId="0" borderId="1" xfId="0" applyFont="1" applyBorder="1" applyAlignment="1">
      <alignment horizontal="left" vertical="center"/>
    </xf>
    <xf numFmtId="14" fontId="11" fillId="0" borderId="1" xfId="0" applyNumberFormat="1" applyFont="1" applyBorder="1" applyAlignment="1">
      <alignment horizontal="left" vertical="center" wrapText="1"/>
    </xf>
    <xf numFmtId="0" fontId="20" fillId="5" borderId="0" xfId="0" applyFont="1" applyFill="1" applyAlignment="1">
      <alignment horizontal="left" vertical="center" wrapText="1"/>
    </xf>
    <xf numFmtId="0" fontId="54" fillId="5" borderId="1" xfId="0" applyFont="1" applyFill="1" applyBorder="1" applyAlignment="1">
      <alignment horizontal="left" vertical="center" wrapText="1"/>
    </xf>
    <xf numFmtId="0" fontId="19" fillId="0" borderId="3" xfId="0" applyFont="1" applyBorder="1" applyAlignment="1">
      <alignment horizontal="left" vertical="center" wrapText="1"/>
    </xf>
    <xf numFmtId="0" fontId="19" fillId="0" borderId="5" xfId="0" applyFont="1" applyBorder="1" applyAlignment="1">
      <alignment horizontal="left" vertical="center" wrapText="1"/>
    </xf>
    <xf numFmtId="0" fontId="19" fillId="0" borderId="4" xfId="0" applyFont="1" applyBorder="1" applyAlignment="1">
      <alignment horizontal="left" vertical="center" wrapText="1"/>
    </xf>
    <xf numFmtId="0" fontId="18" fillId="3" borderId="1" xfId="0" applyFont="1" applyFill="1" applyBorder="1" applyAlignment="1">
      <alignment horizontal="center" vertical="center" wrapText="1"/>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8" fillId="0" borderId="0" xfId="0" applyFont="1" applyAlignment="1">
      <alignment horizontal="left" wrapText="1"/>
    </xf>
    <xf numFmtId="0" fontId="18" fillId="0" borderId="0" xfId="0" applyFont="1" applyAlignment="1">
      <alignment horizontal="center" wrapText="1"/>
    </xf>
    <xf numFmtId="0" fontId="11" fillId="3" borderId="1" xfId="0" applyFont="1" applyFill="1" applyBorder="1" applyAlignment="1">
      <alignment horizontal="center" vertical="center" wrapText="1"/>
    </xf>
    <xf numFmtId="0" fontId="12" fillId="0" borderId="0" xfId="0" applyFont="1" applyAlignment="1">
      <alignment horizontal="left"/>
    </xf>
    <xf numFmtId="0" fontId="13" fillId="3" borderId="1" xfId="0" applyFont="1" applyFill="1" applyBorder="1" applyAlignment="1">
      <alignment horizontal="left" vertical="center" wrapText="1"/>
    </xf>
    <xf numFmtId="0" fontId="14" fillId="0" borderId="1" xfId="0" applyFont="1" applyBorder="1" applyAlignment="1">
      <alignment horizontal="left" vertical="top" wrapText="1"/>
    </xf>
  </cellXfs>
  <cellStyles count="2">
    <cellStyle name="Normal" xfId="0" builtinId="0"/>
    <cellStyle name="Normal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241301</xdr:colOff>
      <xdr:row>11</xdr:row>
      <xdr:rowOff>63501</xdr:rowOff>
    </xdr:from>
    <xdr:to>
      <xdr:col>8</xdr:col>
      <xdr:colOff>449377</xdr:colOff>
      <xdr:row>21</xdr:row>
      <xdr:rowOff>158751</xdr:rowOff>
    </xdr:to>
    <xdr:pic>
      <xdr:nvPicPr>
        <xdr:cNvPr id="3" name="Picture 2">
          <a:extLst>
            <a:ext uri="{FF2B5EF4-FFF2-40B4-BE49-F238E27FC236}">
              <a16:creationId xmlns:a16="http://schemas.microsoft.com/office/drawing/2014/main" id="{4C985AB2-D97A-24FB-3174-6387E0E8A9C5}"/>
            </a:ext>
          </a:extLst>
        </xdr:cNvPr>
        <xdr:cNvPicPr>
          <a:picLocks noChangeAspect="1"/>
        </xdr:cNvPicPr>
      </xdr:nvPicPr>
      <xdr:blipFill>
        <a:blip xmlns:r="http://schemas.openxmlformats.org/officeDocument/2006/relationships" r:embed="rId1"/>
        <a:stretch>
          <a:fillRect/>
        </a:stretch>
      </xdr:blipFill>
      <xdr:spPr>
        <a:xfrm>
          <a:off x="4781551" y="5245101"/>
          <a:ext cx="4894376" cy="2768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1023776</xdr:colOff>
      <xdr:row>29</xdr:row>
      <xdr:rowOff>217714</xdr:rowOff>
    </xdr:from>
    <xdr:to>
      <xdr:col>19</xdr:col>
      <xdr:colOff>544776</xdr:colOff>
      <xdr:row>45</xdr:row>
      <xdr:rowOff>84224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8017847" y="10495643"/>
          <a:ext cx="11685786" cy="7323224"/>
        </a:xfrm>
        <a:prstGeom prst="rect">
          <a:avLst/>
        </a:prstGeom>
      </xdr:spPr>
    </xdr:pic>
    <xdr:clientData/>
  </xdr:twoCellAnchor>
  <xdr:twoCellAnchor editAs="oneCell">
    <xdr:from>
      <xdr:col>6</xdr:col>
      <xdr:colOff>136071</xdr:colOff>
      <xdr:row>22</xdr:row>
      <xdr:rowOff>208642</xdr:rowOff>
    </xdr:from>
    <xdr:to>
      <xdr:col>19</xdr:col>
      <xdr:colOff>632982</xdr:colOff>
      <xdr:row>29</xdr:row>
      <xdr:rowOff>291514</xdr:rowOff>
    </xdr:to>
    <xdr:pic>
      <xdr:nvPicPr>
        <xdr:cNvPr id="5" name="Picture 4">
          <a:extLst>
            <a:ext uri="{FF2B5EF4-FFF2-40B4-BE49-F238E27FC236}">
              <a16:creationId xmlns:a16="http://schemas.microsoft.com/office/drawing/2014/main" id="{5F60FB00-3FCB-BCB6-5343-9FE529CF9C7D}"/>
            </a:ext>
          </a:extLst>
        </xdr:cNvPr>
        <xdr:cNvPicPr>
          <a:picLocks noChangeAspect="1"/>
        </xdr:cNvPicPr>
      </xdr:nvPicPr>
      <xdr:blipFill>
        <a:blip xmlns:r="http://schemas.openxmlformats.org/officeDocument/2006/relationships" r:embed="rId2"/>
        <a:stretch>
          <a:fillRect/>
        </a:stretch>
      </xdr:blipFill>
      <xdr:spPr>
        <a:xfrm>
          <a:off x="8245928" y="8264071"/>
          <a:ext cx="11545911" cy="230537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209549</xdr:colOff>
      <xdr:row>21</xdr:row>
      <xdr:rowOff>77179</xdr:rowOff>
    </xdr:from>
    <xdr:to>
      <xdr:col>6</xdr:col>
      <xdr:colOff>276957</xdr:colOff>
      <xdr:row>22</xdr:row>
      <xdr:rowOff>324829</xdr:rowOff>
    </xdr:to>
    <xdr:pic>
      <xdr:nvPicPr>
        <xdr:cNvPr id="2" name="Picture 4">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329170" y="5953760"/>
          <a:ext cx="253365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66312</xdr:colOff>
      <xdr:row>30</xdr:row>
      <xdr:rowOff>2866118</xdr:rowOff>
    </xdr:from>
    <xdr:to>
      <xdr:col>1</xdr:col>
      <xdr:colOff>2208802</xdr:colOff>
      <xdr:row>30</xdr:row>
      <xdr:rowOff>4748258</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2"/>
        <a:stretch>
          <a:fillRect/>
        </a:stretch>
      </xdr:blipFill>
      <xdr:spPr>
        <a:xfrm>
          <a:off x="2034812" y="11583761"/>
          <a:ext cx="2142490" cy="1882140"/>
        </a:xfrm>
        <a:prstGeom prst="rect">
          <a:avLst/>
        </a:prstGeom>
        <a:noFill/>
        <a:ln w="9525">
          <a:noFill/>
        </a:ln>
      </xdr:spPr>
    </xdr:pic>
    <xdr:clientData/>
  </xdr:twoCellAnchor>
  <xdr:twoCellAnchor editAs="oneCell">
    <xdr:from>
      <xdr:col>1</xdr:col>
      <xdr:colOff>199573</xdr:colOff>
      <xdr:row>30</xdr:row>
      <xdr:rowOff>214947</xdr:rowOff>
    </xdr:from>
    <xdr:to>
      <xdr:col>5</xdr:col>
      <xdr:colOff>119553</xdr:colOff>
      <xdr:row>30</xdr:row>
      <xdr:rowOff>2874513</xdr:rowOff>
    </xdr:to>
    <xdr:pic>
      <xdr:nvPicPr>
        <xdr:cNvPr id="8" name="Picture 7">
          <a:extLst>
            <a:ext uri="{FF2B5EF4-FFF2-40B4-BE49-F238E27FC236}">
              <a16:creationId xmlns:a16="http://schemas.microsoft.com/office/drawing/2014/main" id="{3DDE60DD-8822-5CA3-04FB-9B7C8C2D9553}"/>
            </a:ext>
          </a:extLst>
        </xdr:cNvPr>
        <xdr:cNvPicPr>
          <a:picLocks noChangeAspect="1"/>
        </xdr:cNvPicPr>
      </xdr:nvPicPr>
      <xdr:blipFill>
        <a:blip xmlns:r="http://schemas.openxmlformats.org/officeDocument/2006/relationships" r:embed="rId3"/>
        <a:stretch>
          <a:fillRect/>
        </a:stretch>
      </xdr:blipFill>
      <xdr:spPr>
        <a:xfrm>
          <a:off x="2168073" y="8932590"/>
          <a:ext cx="6288123" cy="265956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29"/>
  <sheetViews>
    <sheetView zoomScale="85" zoomScaleNormal="85" zoomScalePageLayoutView="89" workbookViewId="0">
      <selection activeCell="B2" sqref="B2"/>
    </sheetView>
  </sheetViews>
  <sheetFormatPr defaultColWidth="9.08984375" defaultRowHeight="14.5"/>
  <cols>
    <col min="1" max="1" width="37.54296875" style="37" customWidth="1"/>
    <col min="2" max="2" width="56.54296875" style="37" customWidth="1"/>
    <col min="3" max="3" width="66.54296875" style="37" customWidth="1"/>
    <col min="4" max="16384" width="9.08984375" style="37"/>
  </cols>
  <sheetData>
    <row r="1" spans="1:3" ht="18.5">
      <c r="A1" s="98" t="s">
        <v>0</v>
      </c>
    </row>
    <row r="2" spans="1:3" ht="42" customHeight="1">
      <c r="A2" s="15" t="s">
        <v>1</v>
      </c>
      <c r="B2" s="20" t="s">
        <v>2</v>
      </c>
      <c r="C2" s="87"/>
    </row>
    <row r="3" spans="1:3" ht="27" customHeight="1">
      <c r="A3" s="99" t="s">
        <v>3</v>
      </c>
      <c r="B3" s="20" t="s">
        <v>4</v>
      </c>
      <c r="C3" s="87"/>
    </row>
    <row r="4" spans="1:3" ht="24.9" customHeight="1">
      <c r="A4" s="99" t="s">
        <v>5</v>
      </c>
      <c r="B4" s="20" t="s">
        <v>6</v>
      </c>
    </row>
    <row r="5" spans="1:3" ht="24.9" customHeight="1">
      <c r="A5" s="99" t="s">
        <v>7</v>
      </c>
      <c r="B5" s="20" t="s">
        <v>8</v>
      </c>
    </row>
    <row r="6" spans="1:3" ht="24.9" customHeight="1">
      <c r="A6" s="100" t="s">
        <v>9</v>
      </c>
      <c r="B6" s="101">
        <v>1515501900</v>
      </c>
    </row>
    <row r="7" spans="1:3" ht="30" customHeight="1">
      <c r="A7" s="102" t="s">
        <v>10</v>
      </c>
      <c r="B7" s="102"/>
    </row>
    <row r="8" spans="1:3" ht="30" customHeight="1">
      <c r="A8" s="99" t="s">
        <v>11</v>
      </c>
      <c r="B8" s="20" t="s">
        <v>12</v>
      </c>
    </row>
    <row r="9" spans="1:3" ht="30" customHeight="1">
      <c r="A9" s="99" t="s">
        <v>13</v>
      </c>
      <c r="B9" s="20" t="s">
        <v>14</v>
      </c>
    </row>
    <row r="10" spans="1:3" ht="30" customHeight="1">
      <c r="A10" s="99" t="s">
        <v>15</v>
      </c>
      <c r="B10" s="20" t="s">
        <v>16</v>
      </c>
    </row>
    <row r="11" spans="1:3" ht="69.75" customHeight="1">
      <c r="A11" s="99" t="s">
        <v>17</v>
      </c>
      <c r="B11" s="20" t="s">
        <v>18</v>
      </c>
    </row>
    <row r="12" spans="1:3" ht="24.9" customHeight="1">
      <c r="A12" s="99" t="s">
        <v>19</v>
      </c>
      <c r="B12" s="20" t="s">
        <v>20</v>
      </c>
    </row>
    <row r="13" spans="1:3" ht="24.9" customHeight="1">
      <c r="A13" s="99" t="s">
        <v>21</v>
      </c>
      <c r="B13" s="20" t="s">
        <v>16</v>
      </c>
    </row>
    <row r="14" spans="1:3" ht="24.9" customHeight="1">
      <c r="A14" s="99" t="s">
        <v>22</v>
      </c>
      <c r="B14" s="20" t="s">
        <v>23</v>
      </c>
    </row>
    <row r="15" spans="1:3" ht="66" customHeight="1">
      <c r="A15" s="99" t="s">
        <v>24</v>
      </c>
      <c r="B15" s="20" t="s">
        <v>25</v>
      </c>
    </row>
    <row r="16" spans="1:3" ht="24.9" customHeight="1">
      <c r="A16" s="99" t="s">
        <v>26</v>
      </c>
      <c r="B16" s="20" t="s">
        <v>27</v>
      </c>
    </row>
    <row r="17" spans="1:3" ht="30" customHeight="1">
      <c r="A17" s="98" t="s">
        <v>28</v>
      </c>
      <c r="B17" s="98"/>
    </row>
    <row r="18" spans="1:3" ht="24.9" customHeight="1">
      <c r="A18" s="103" t="s">
        <v>29</v>
      </c>
      <c r="B18" s="104" t="s">
        <v>30</v>
      </c>
    </row>
    <row r="19" spans="1:3" ht="28.4" customHeight="1">
      <c r="A19" s="99" t="s">
        <v>31</v>
      </c>
      <c r="B19" s="20" t="s">
        <v>32</v>
      </c>
    </row>
    <row r="20" spans="1:3" ht="30" customHeight="1">
      <c r="A20" s="99" t="s">
        <v>33</v>
      </c>
      <c r="B20" s="20" t="s">
        <v>32</v>
      </c>
    </row>
    <row r="21" spans="1:3" ht="24.9" customHeight="1">
      <c r="A21" s="99" t="s">
        <v>34</v>
      </c>
      <c r="B21" s="20" t="s">
        <v>20</v>
      </c>
    </row>
    <row r="22" spans="1:3" ht="24.9" customHeight="1">
      <c r="A22" s="99" t="s">
        <v>35</v>
      </c>
      <c r="B22" s="20" t="s">
        <v>20</v>
      </c>
    </row>
    <row r="23" spans="1:3" ht="30" customHeight="1">
      <c r="A23" s="98" t="s">
        <v>36</v>
      </c>
      <c r="B23" s="98"/>
    </row>
    <row r="24" spans="1:3" ht="102" customHeight="1">
      <c r="A24" s="105" t="s">
        <v>37</v>
      </c>
      <c r="B24" s="106" t="s">
        <v>38</v>
      </c>
    </row>
    <row r="25" spans="1:3" ht="98.15" customHeight="1">
      <c r="A25" s="105" t="s">
        <v>39</v>
      </c>
      <c r="B25" s="106" t="s">
        <v>40</v>
      </c>
      <c r="C25" s="107" t="s">
        <v>41</v>
      </c>
    </row>
    <row r="26" spans="1:3" ht="24.9" customHeight="1">
      <c r="A26" s="105" t="s">
        <v>42</v>
      </c>
      <c r="B26" s="106" t="s">
        <v>43</v>
      </c>
    </row>
    <row r="27" spans="1:3" ht="30" customHeight="1">
      <c r="A27" s="120" t="s">
        <v>44</v>
      </c>
      <c r="B27" s="120"/>
    </row>
    <row r="28" spans="1:3" ht="33.75" customHeight="1">
      <c r="A28" s="121" t="s">
        <v>45</v>
      </c>
      <c r="B28" s="121"/>
    </row>
    <row r="29" spans="1:3">
      <c r="A29" s="121"/>
      <c r="B29" s="121"/>
    </row>
  </sheetData>
  <mergeCells count="2">
    <mergeCell ref="A27:B27"/>
    <mergeCell ref="A28:B29"/>
  </mergeCells>
  <printOptions verticalCentered="1"/>
  <pageMargins left="0.39370078740157499" right="0.39370078740157499" top="0.98425196850393704" bottom="0.98425196850393704" header="0.39370078740157499" footer="0.39370078740157499"/>
  <pageSetup paperSize="9" scale="77" orientation="portrait"/>
  <headerFooter>
    <oddHeader>&amp;C&amp;G&amp;R&amp;9The Basic Ingredients Ltd
&amp;8 18 Platt Street, London, NW1 1RP     
T: 44(0)1727 760880
Registered No. 11242078
Registered in the UK</oddHeader>
    <oddFooter>&amp;L&amp;"-,Bold"&amp;9
Doc Name: Food Specification   Doc Number: BASIC-18   Version: V07   Issue Date: 01/10/2024
Issued By: Nancy Deng  Authorised By: Emma Du&amp;C
&amp;R&amp;"-,Bold"&amp;10Confidential&amp;"-,Regular"
&amp;D - Page &amp;P of 5</oddFooter>
  </headerFooter>
  <legacyDrawingHF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41"/>
  <sheetViews>
    <sheetView zoomScaleNormal="100" zoomScalePageLayoutView="10" workbookViewId="0">
      <selection activeCell="A5" sqref="A5:XFD10"/>
    </sheetView>
  </sheetViews>
  <sheetFormatPr defaultColWidth="9.08984375" defaultRowHeight="14.5"/>
  <cols>
    <col min="1" max="1" width="3.54296875" style="13" customWidth="1"/>
    <col min="2" max="2" width="29.54296875" style="13" customWidth="1"/>
    <col min="3" max="3" width="12.08984375" style="13" customWidth="1"/>
    <col min="4" max="4" width="19.54296875" style="13" customWidth="1"/>
    <col min="5" max="5" width="13.54296875" style="13" customWidth="1"/>
    <col min="6" max="6" width="13.08984375" style="13" customWidth="1"/>
    <col min="7" max="7" width="16.36328125" style="13" customWidth="1"/>
    <col min="8" max="8" width="24.08984375" style="13" customWidth="1"/>
    <col min="9" max="9" width="13.453125" style="13" customWidth="1"/>
    <col min="10" max="10" width="15" style="13" customWidth="1"/>
    <col min="11" max="11" width="21" style="13" customWidth="1"/>
    <col min="12" max="16384" width="9.08984375" style="13"/>
  </cols>
  <sheetData>
    <row r="1" spans="1:11" ht="30" customHeight="1">
      <c r="A1" s="22" t="s">
        <v>46</v>
      </c>
      <c r="B1" s="22"/>
      <c r="C1" s="78"/>
    </row>
    <row r="2" spans="1:11" ht="30" customHeight="1">
      <c r="A2" s="139" t="s">
        <v>47</v>
      </c>
      <c r="B2" s="139"/>
      <c r="C2" s="139" t="s">
        <v>48</v>
      </c>
      <c r="D2" s="139"/>
      <c r="E2" s="80" t="s">
        <v>49</v>
      </c>
      <c r="F2" s="79" t="s">
        <v>50</v>
      </c>
      <c r="G2" s="79"/>
      <c r="H2" s="122" t="s">
        <v>51</v>
      </c>
      <c r="I2" s="122" t="s">
        <v>52</v>
      </c>
    </row>
    <row r="3" spans="1:11" ht="35.25" customHeight="1">
      <c r="A3" s="140" t="s">
        <v>53</v>
      </c>
      <c r="B3" s="140"/>
      <c r="C3" s="140" t="s">
        <v>54</v>
      </c>
      <c r="D3" s="140"/>
      <c r="E3" s="81" t="s">
        <v>55</v>
      </c>
      <c r="F3" s="82" t="s">
        <v>56</v>
      </c>
      <c r="G3" s="82"/>
      <c r="H3" s="122"/>
      <c r="I3" s="122"/>
    </row>
    <row r="4" spans="1:11" ht="47.15" customHeight="1">
      <c r="A4" s="141" t="s">
        <v>57</v>
      </c>
      <c r="B4" s="142"/>
      <c r="C4" s="141"/>
      <c r="D4" s="142"/>
      <c r="E4" s="83">
        <v>1</v>
      </c>
      <c r="F4" s="84" t="s">
        <v>58</v>
      </c>
      <c r="G4" s="84"/>
      <c r="H4" s="84" t="s">
        <v>59</v>
      </c>
      <c r="I4" s="97" t="s">
        <v>60</v>
      </c>
    </row>
    <row r="5" spans="1:11" ht="15" customHeight="1">
      <c r="D5" s="85" t="s">
        <v>61</v>
      </c>
      <c r="E5" s="86">
        <f>SUM(E4:E4)</f>
        <v>1</v>
      </c>
      <c r="F5" s="86"/>
      <c r="G5" s="86"/>
      <c r="H5" s="86"/>
    </row>
    <row r="6" spans="1:11" ht="15" customHeight="1">
      <c r="A6" s="124" t="s">
        <v>62</v>
      </c>
      <c r="B6" s="125"/>
      <c r="C6" s="125"/>
      <c r="D6" s="125"/>
      <c r="E6" s="125"/>
      <c r="F6" s="125"/>
      <c r="G6" s="125"/>
      <c r="H6" s="125"/>
      <c r="I6" s="125"/>
    </row>
    <row r="7" spans="1:11" ht="15" customHeight="1">
      <c r="A7" s="125"/>
      <c r="B7" s="125"/>
      <c r="C7" s="125"/>
      <c r="D7" s="125"/>
      <c r="E7" s="125"/>
      <c r="F7" s="125"/>
      <c r="G7" s="125"/>
      <c r="H7" s="125"/>
      <c r="I7" s="125"/>
    </row>
    <row r="8" spans="1:11" ht="25.5" customHeight="1">
      <c r="A8" s="123" t="s">
        <v>63</v>
      </c>
      <c r="B8" s="123"/>
      <c r="C8" s="123"/>
      <c r="D8" s="123"/>
      <c r="E8" s="123"/>
      <c r="F8" s="123"/>
      <c r="G8" s="123"/>
      <c r="H8" s="123"/>
      <c r="I8" s="123"/>
      <c r="J8" s="123"/>
    </row>
    <row r="9" spans="1:11" ht="25.5" customHeight="1">
      <c r="A9" s="123"/>
      <c r="B9" s="123"/>
      <c r="C9" s="123"/>
      <c r="D9" s="123"/>
      <c r="E9" s="123"/>
      <c r="F9" s="123"/>
      <c r="G9" s="123"/>
      <c r="H9" s="123"/>
      <c r="I9" s="123"/>
      <c r="J9" s="123"/>
    </row>
    <row r="10" spans="1:11" ht="30" customHeight="1">
      <c r="A10" s="22" t="s">
        <v>64</v>
      </c>
      <c r="B10" s="88"/>
      <c r="C10" s="57" t="s">
        <v>65</v>
      </c>
    </row>
    <row r="11" spans="1:11" ht="20.25" customHeight="1">
      <c r="A11" s="137" t="s">
        <v>66</v>
      </c>
      <c r="B11" s="138"/>
      <c r="C11" s="137" t="s">
        <v>67</v>
      </c>
      <c r="D11" s="138"/>
    </row>
    <row r="12" spans="1:11" ht="30.9" customHeight="1">
      <c r="A12" s="133" t="s">
        <v>68</v>
      </c>
      <c r="B12" s="134"/>
      <c r="C12" s="131" t="s">
        <v>69</v>
      </c>
      <c r="D12" s="132"/>
      <c r="K12" s="13">
        <f>D13*37+(D17+D22)*17</f>
        <v>0</v>
      </c>
    </row>
    <row r="13" spans="1:11" ht="20.25" customHeight="1">
      <c r="A13" s="133" t="s">
        <v>70</v>
      </c>
      <c r="B13" s="134"/>
      <c r="C13" s="131" t="s">
        <v>71</v>
      </c>
      <c r="D13" s="132"/>
    </row>
    <row r="14" spans="1:11" ht="20.25" customHeight="1">
      <c r="A14" s="129" t="s">
        <v>72</v>
      </c>
      <c r="B14" s="130"/>
      <c r="C14" s="131" t="s">
        <v>73</v>
      </c>
      <c r="D14" s="132"/>
    </row>
    <row r="15" spans="1:11" ht="20.25" customHeight="1">
      <c r="A15" s="129" t="s">
        <v>74</v>
      </c>
      <c r="B15" s="130"/>
      <c r="C15" s="131"/>
      <c r="D15" s="132"/>
    </row>
    <row r="16" spans="1:11" ht="20.25" customHeight="1">
      <c r="A16" s="129" t="s">
        <v>75</v>
      </c>
      <c r="B16" s="130"/>
      <c r="C16" s="131"/>
      <c r="D16" s="132"/>
    </row>
    <row r="17" spans="1:11" ht="20.25" customHeight="1">
      <c r="A17" s="133" t="s">
        <v>76</v>
      </c>
      <c r="B17" s="134"/>
      <c r="C17" s="131" t="s">
        <v>77</v>
      </c>
      <c r="D17" s="132"/>
    </row>
    <row r="18" spans="1:11" ht="19.5" customHeight="1">
      <c r="A18" s="129" t="s">
        <v>78</v>
      </c>
      <c r="B18" s="130"/>
      <c r="C18" s="131" t="s">
        <v>77</v>
      </c>
      <c r="D18" s="132"/>
    </row>
    <row r="19" spans="1:11" ht="20.25" customHeight="1">
      <c r="A19" s="129" t="s">
        <v>79</v>
      </c>
      <c r="B19" s="130"/>
      <c r="C19" s="131"/>
      <c r="D19" s="132"/>
    </row>
    <row r="20" spans="1:11" ht="20.25" customHeight="1">
      <c r="A20" s="129" t="s">
        <v>80</v>
      </c>
      <c r="B20" s="130"/>
      <c r="C20" s="131"/>
      <c r="D20" s="132"/>
    </row>
    <row r="21" spans="1:11" ht="20.25" customHeight="1">
      <c r="A21" s="133" t="s">
        <v>81</v>
      </c>
      <c r="B21" s="134"/>
      <c r="C21" s="131"/>
      <c r="D21" s="132"/>
    </row>
    <row r="22" spans="1:11" ht="20.25" customHeight="1">
      <c r="A22" s="133" t="s">
        <v>82</v>
      </c>
      <c r="B22" s="134"/>
      <c r="C22" s="131" t="s">
        <v>77</v>
      </c>
      <c r="D22" s="132"/>
    </row>
    <row r="23" spans="1:11" ht="20.25" customHeight="1">
      <c r="A23" s="133" t="s">
        <v>83</v>
      </c>
      <c r="B23" s="134"/>
      <c r="C23" s="131" t="s">
        <v>77</v>
      </c>
      <c r="D23" s="132"/>
      <c r="E23" s="89"/>
      <c r="F23" s="56"/>
      <c r="G23" s="56"/>
      <c r="H23" s="90"/>
      <c r="I23" s="90"/>
      <c r="J23" s="90"/>
      <c r="K23" s="90"/>
    </row>
    <row r="24" spans="1:11" ht="20.25" customHeight="1">
      <c r="A24" s="56" t="s">
        <v>84</v>
      </c>
      <c r="B24" s="89"/>
      <c r="C24" s="91"/>
      <c r="E24" s="90"/>
      <c r="F24" s="90"/>
      <c r="G24" s="90"/>
      <c r="H24" s="90"/>
      <c r="I24" s="90"/>
      <c r="J24" s="90"/>
      <c r="K24" s="90"/>
    </row>
    <row r="25" spans="1:11" ht="30" customHeight="1">
      <c r="A25" s="22" t="s">
        <v>85</v>
      </c>
      <c r="B25" s="78"/>
      <c r="C25" s="78"/>
      <c r="D25" s="78"/>
    </row>
    <row r="26" spans="1:11" ht="68.150000000000006" customHeight="1">
      <c r="A26" s="135"/>
      <c r="B26" s="136" t="s">
        <v>86</v>
      </c>
      <c r="C26" s="136"/>
      <c r="D26" s="136"/>
      <c r="E26" s="92" t="s">
        <v>87</v>
      </c>
      <c r="F26" s="92" t="s">
        <v>88</v>
      </c>
      <c r="G26" s="92" t="s">
        <v>89</v>
      </c>
      <c r="H26" s="92" t="s">
        <v>90</v>
      </c>
      <c r="I26" s="92" t="s">
        <v>91</v>
      </c>
    </row>
    <row r="27" spans="1:11" ht="20.75" customHeight="1">
      <c r="A27" s="135"/>
      <c r="B27" s="127" t="s">
        <v>92</v>
      </c>
      <c r="C27" s="127"/>
      <c r="D27" s="127"/>
      <c r="E27" s="92" t="s">
        <v>93</v>
      </c>
      <c r="F27" s="92" t="s">
        <v>93</v>
      </c>
      <c r="G27" s="92" t="s">
        <v>93</v>
      </c>
      <c r="H27" s="92" t="s">
        <v>93</v>
      </c>
      <c r="I27" s="92" t="s">
        <v>93</v>
      </c>
    </row>
    <row r="28" spans="1:11" ht="33.9" customHeight="1">
      <c r="A28" s="93" t="s">
        <v>94</v>
      </c>
      <c r="B28" s="128" t="s">
        <v>95</v>
      </c>
      <c r="C28" s="128"/>
      <c r="D28" s="128"/>
      <c r="E28" s="94" t="s">
        <v>60</v>
      </c>
      <c r="F28" s="94" t="s">
        <v>60</v>
      </c>
      <c r="G28" s="95" t="s">
        <v>60</v>
      </c>
      <c r="H28" s="95" t="s">
        <v>96</v>
      </c>
      <c r="I28" s="95" t="s">
        <v>60</v>
      </c>
    </row>
    <row r="29" spans="1:11" ht="24.9" customHeight="1">
      <c r="A29" s="96" t="s">
        <v>97</v>
      </c>
      <c r="B29" s="126" t="s">
        <v>98</v>
      </c>
      <c r="C29" s="126"/>
      <c r="D29" s="126"/>
      <c r="E29" s="94" t="s">
        <v>60</v>
      </c>
      <c r="F29" s="94" t="s">
        <v>60</v>
      </c>
      <c r="G29" s="95" t="s">
        <v>60</v>
      </c>
      <c r="H29" s="95" t="s">
        <v>96</v>
      </c>
      <c r="I29" s="95" t="s">
        <v>60</v>
      </c>
    </row>
    <row r="30" spans="1:11" ht="24.9" customHeight="1">
      <c r="A30" s="96" t="s">
        <v>99</v>
      </c>
      <c r="B30" s="126" t="s">
        <v>100</v>
      </c>
      <c r="C30" s="126"/>
      <c r="D30" s="126"/>
      <c r="E30" s="94" t="s">
        <v>60</v>
      </c>
      <c r="F30" s="94" t="s">
        <v>60</v>
      </c>
      <c r="G30" s="95" t="s">
        <v>60</v>
      </c>
      <c r="H30" s="95" t="s">
        <v>96</v>
      </c>
      <c r="I30" s="95" t="s">
        <v>60</v>
      </c>
    </row>
    <row r="31" spans="1:11" ht="24.9" customHeight="1">
      <c r="A31" s="96" t="s">
        <v>101</v>
      </c>
      <c r="B31" s="126" t="s">
        <v>102</v>
      </c>
      <c r="C31" s="126"/>
      <c r="D31" s="126"/>
      <c r="E31" s="94" t="s">
        <v>60</v>
      </c>
      <c r="F31" s="94" t="s">
        <v>60</v>
      </c>
      <c r="G31" s="95" t="s">
        <v>60</v>
      </c>
      <c r="H31" s="95" t="s">
        <v>96</v>
      </c>
      <c r="I31" s="95" t="s">
        <v>60</v>
      </c>
    </row>
    <row r="32" spans="1:11" ht="24.9" customHeight="1">
      <c r="A32" s="96" t="s">
        <v>103</v>
      </c>
      <c r="B32" s="126" t="s">
        <v>104</v>
      </c>
      <c r="C32" s="126"/>
      <c r="D32" s="126"/>
      <c r="E32" s="94" t="s">
        <v>60</v>
      </c>
      <c r="F32" s="94" t="s">
        <v>60</v>
      </c>
      <c r="G32" s="95" t="s">
        <v>60</v>
      </c>
      <c r="H32" s="95" t="s">
        <v>96</v>
      </c>
      <c r="I32" s="95" t="s">
        <v>60</v>
      </c>
    </row>
    <row r="33" spans="1:9" ht="24.9" customHeight="1">
      <c r="A33" s="96" t="s">
        <v>105</v>
      </c>
      <c r="B33" s="126" t="s">
        <v>106</v>
      </c>
      <c r="C33" s="126"/>
      <c r="D33" s="126"/>
      <c r="E33" s="94" t="s">
        <v>60</v>
      </c>
      <c r="F33" s="94" t="s">
        <v>60</v>
      </c>
      <c r="G33" s="95" t="s">
        <v>60</v>
      </c>
      <c r="H33" s="95" t="s">
        <v>96</v>
      </c>
      <c r="I33" s="95" t="s">
        <v>60</v>
      </c>
    </row>
    <row r="34" spans="1:9" ht="24.9" customHeight="1">
      <c r="A34" s="96" t="s">
        <v>107</v>
      </c>
      <c r="B34" s="126" t="s">
        <v>108</v>
      </c>
      <c r="C34" s="126"/>
      <c r="D34" s="126"/>
      <c r="E34" s="94" t="s">
        <v>60</v>
      </c>
      <c r="F34" s="94" t="s">
        <v>60</v>
      </c>
      <c r="G34" s="95" t="s">
        <v>60</v>
      </c>
      <c r="H34" s="95" t="s">
        <v>96</v>
      </c>
      <c r="I34" s="95" t="s">
        <v>60</v>
      </c>
    </row>
    <row r="35" spans="1:9" ht="24.9" customHeight="1">
      <c r="A35" s="96" t="s">
        <v>109</v>
      </c>
      <c r="B35" s="126" t="s">
        <v>110</v>
      </c>
      <c r="C35" s="126"/>
      <c r="D35" s="126"/>
      <c r="E35" s="94" t="s">
        <v>60</v>
      </c>
      <c r="F35" s="94" t="s">
        <v>60</v>
      </c>
      <c r="G35" s="95" t="s">
        <v>60</v>
      </c>
      <c r="H35" s="95" t="s">
        <v>96</v>
      </c>
      <c r="I35" s="95" t="s">
        <v>60</v>
      </c>
    </row>
    <row r="36" spans="1:9" ht="24.9" customHeight="1">
      <c r="A36" s="96" t="s">
        <v>111</v>
      </c>
      <c r="B36" s="126" t="s">
        <v>112</v>
      </c>
      <c r="C36" s="126"/>
      <c r="D36" s="126"/>
      <c r="E36" s="94" t="s">
        <v>60</v>
      </c>
      <c r="F36" s="94" t="s">
        <v>60</v>
      </c>
      <c r="G36" s="95" t="s">
        <v>60</v>
      </c>
      <c r="H36" s="95" t="s">
        <v>96</v>
      </c>
      <c r="I36" s="95" t="s">
        <v>60</v>
      </c>
    </row>
    <row r="37" spans="1:9" ht="24.9" customHeight="1">
      <c r="A37" s="96" t="s">
        <v>113</v>
      </c>
      <c r="B37" s="126" t="s">
        <v>114</v>
      </c>
      <c r="C37" s="126"/>
      <c r="D37" s="126"/>
      <c r="E37" s="94" t="s">
        <v>60</v>
      </c>
      <c r="F37" s="94" t="s">
        <v>60</v>
      </c>
      <c r="G37" s="95" t="s">
        <v>60</v>
      </c>
      <c r="H37" s="95" t="s">
        <v>96</v>
      </c>
      <c r="I37" s="95" t="s">
        <v>60</v>
      </c>
    </row>
    <row r="38" spans="1:9" ht="24.9" customHeight="1">
      <c r="A38" s="96" t="s">
        <v>115</v>
      </c>
      <c r="B38" s="126" t="s">
        <v>116</v>
      </c>
      <c r="C38" s="126"/>
      <c r="D38" s="126"/>
      <c r="E38" s="109" t="s">
        <v>96</v>
      </c>
      <c r="F38" s="109" t="s">
        <v>96</v>
      </c>
      <c r="G38" s="109" t="s">
        <v>96</v>
      </c>
      <c r="H38" s="109" t="s">
        <v>96</v>
      </c>
      <c r="I38" s="109" t="s">
        <v>16</v>
      </c>
    </row>
    <row r="39" spans="1:9" ht="24.9" customHeight="1">
      <c r="A39" s="96" t="s">
        <v>117</v>
      </c>
      <c r="B39" s="126" t="s">
        <v>118</v>
      </c>
      <c r="C39" s="126"/>
      <c r="D39" s="126"/>
      <c r="E39" s="94" t="s">
        <v>60</v>
      </c>
      <c r="F39" s="94" t="s">
        <v>60</v>
      </c>
      <c r="G39" s="95" t="s">
        <v>60</v>
      </c>
      <c r="H39" s="95" t="s">
        <v>96</v>
      </c>
      <c r="I39" s="95" t="s">
        <v>60</v>
      </c>
    </row>
    <row r="40" spans="1:9" ht="24.9" customHeight="1">
      <c r="A40" s="96" t="s">
        <v>119</v>
      </c>
      <c r="B40" s="126" t="s">
        <v>120</v>
      </c>
      <c r="C40" s="126"/>
      <c r="D40" s="126"/>
      <c r="E40" s="94" t="s">
        <v>60</v>
      </c>
      <c r="F40" s="94" t="s">
        <v>60</v>
      </c>
      <c r="G40" s="95" t="s">
        <v>60</v>
      </c>
      <c r="H40" s="95" t="s">
        <v>96</v>
      </c>
      <c r="I40" s="95" t="s">
        <v>60</v>
      </c>
    </row>
    <row r="41" spans="1:9" ht="24.9" customHeight="1">
      <c r="A41" s="96" t="s">
        <v>121</v>
      </c>
      <c r="B41" s="126" t="s">
        <v>122</v>
      </c>
      <c r="C41" s="126"/>
      <c r="D41" s="126"/>
      <c r="E41" s="94" t="s">
        <v>60</v>
      </c>
      <c r="F41" s="94" t="s">
        <v>60</v>
      </c>
      <c r="G41" s="95" t="s">
        <v>60</v>
      </c>
      <c r="H41" s="95" t="s">
        <v>96</v>
      </c>
      <c r="I41" s="95" t="s">
        <v>60</v>
      </c>
    </row>
  </sheetData>
  <mergeCells count="53">
    <mergeCell ref="A2:B2"/>
    <mergeCell ref="C2:D2"/>
    <mergeCell ref="A3:B3"/>
    <mergeCell ref="C3:D3"/>
    <mergeCell ref="A4:B4"/>
    <mergeCell ref="C4:D4"/>
    <mergeCell ref="A11:B11"/>
    <mergeCell ref="C11:D11"/>
    <mergeCell ref="A12:B12"/>
    <mergeCell ref="C12:D12"/>
    <mergeCell ref="A13:B13"/>
    <mergeCell ref="C13:D13"/>
    <mergeCell ref="C18:D18"/>
    <mergeCell ref="A19:B19"/>
    <mergeCell ref="C19:D19"/>
    <mergeCell ref="A14:B14"/>
    <mergeCell ref="C14:D14"/>
    <mergeCell ref="A15:B15"/>
    <mergeCell ref="C15:D15"/>
    <mergeCell ref="A16:B16"/>
    <mergeCell ref="C16:D16"/>
    <mergeCell ref="B41:D41"/>
    <mergeCell ref="A26:A27"/>
    <mergeCell ref="H2:H3"/>
    <mergeCell ref="B34:D34"/>
    <mergeCell ref="B35:D35"/>
    <mergeCell ref="B36:D36"/>
    <mergeCell ref="B37:D37"/>
    <mergeCell ref="B38:D38"/>
    <mergeCell ref="B29:D29"/>
    <mergeCell ref="B30:D30"/>
    <mergeCell ref="B31:D31"/>
    <mergeCell ref="B32:D32"/>
    <mergeCell ref="B33:D33"/>
    <mergeCell ref="A23:B23"/>
    <mergeCell ref="C23:D23"/>
    <mergeCell ref="B26:D26"/>
    <mergeCell ref="I2:I3"/>
    <mergeCell ref="A8:J9"/>
    <mergeCell ref="A6:I7"/>
    <mergeCell ref="B39:D39"/>
    <mergeCell ref="B40:D40"/>
    <mergeCell ref="B27:D27"/>
    <mergeCell ref="B28:D28"/>
    <mergeCell ref="A20:B20"/>
    <mergeCell ref="C20:D20"/>
    <mergeCell ref="A21:B21"/>
    <mergeCell ref="C21:D21"/>
    <mergeCell ref="A22:B22"/>
    <mergeCell ref="C22:D22"/>
    <mergeCell ref="A17:B17"/>
    <mergeCell ref="C17:D17"/>
    <mergeCell ref="A18:B18"/>
  </mergeCells>
  <printOptions verticalCentered="1"/>
  <pageMargins left="0.39370078740157499" right="0.39370078740157499" top="0.98425196850393704" bottom="0.98425196850393704" header="0.39370078740157499" footer="0.39370078740157499"/>
  <pageSetup paperSize="9" scale="63" orientation="portrait"/>
  <headerFooter>
    <oddHeader>&amp;C&amp;G&amp;R&amp;9The Basic Ingredients Ltd
&amp;8 18 Platt Street, London, NW1 1RP       
T: 44(0)1727 760880
Registered No. 11242078
Registered in the UK</oddHeader>
    <oddFooter>&amp;L&amp;"-,Bold"&amp;9
Doc Name: Food Specification   Doc Number: BASIC-18   Version: V07  Issue Date: 01/10/2024
Issued By: Nancy Deng  Authorised By: Emma Du&amp;C
&amp;R&amp;"-,Bold"&amp;10Confidential&amp;"-,Regular"
&amp;D - Page &amp;P of 5</oddFooter>
  </headerFooter>
  <drawing r:id="rId1"/>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K39"/>
  <sheetViews>
    <sheetView topLeftCell="A17" zoomScale="70" zoomScaleNormal="70" zoomScalePageLayoutView="72" workbookViewId="0">
      <selection activeCell="H22" sqref="H22"/>
    </sheetView>
  </sheetViews>
  <sheetFormatPr defaultColWidth="9.08984375" defaultRowHeight="14.5"/>
  <cols>
    <col min="1" max="1" width="35.90625" style="13" customWidth="1"/>
    <col min="2" max="2" width="15" style="13" customWidth="1"/>
    <col min="3" max="3" width="16.453125" style="13" customWidth="1"/>
    <col min="4" max="4" width="17" style="13" customWidth="1"/>
    <col min="5" max="5" width="15.54296875" style="13" customWidth="1"/>
    <col min="6" max="6" width="16" style="13" customWidth="1"/>
    <col min="7" max="7" width="14" style="13" customWidth="1"/>
    <col min="8" max="8" width="16.453125" style="13" customWidth="1"/>
    <col min="9" max="9" width="29" style="13" customWidth="1"/>
    <col min="10" max="10" width="16.90625" style="13" customWidth="1"/>
    <col min="11" max="16384" width="9.08984375" style="13"/>
  </cols>
  <sheetData>
    <row r="1" spans="1:11" s="12" customFormat="1" ht="30" customHeight="1">
      <c r="A1" s="22" t="s">
        <v>123</v>
      </c>
      <c r="B1" s="22"/>
      <c r="C1" s="22"/>
      <c r="D1" s="22"/>
      <c r="E1" s="22"/>
      <c r="G1" s="57"/>
      <c r="H1" s="57"/>
    </row>
    <row r="2" spans="1:11" ht="101.4" customHeight="1">
      <c r="A2" s="161" t="s">
        <v>124</v>
      </c>
      <c r="B2" s="161"/>
      <c r="C2" s="58" t="s">
        <v>125</v>
      </c>
      <c r="D2" s="59" t="s">
        <v>126</v>
      </c>
      <c r="E2" s="60" t="s">
        <v>127</v>
      </c>
      <c r="G2" s="61"/>
      <c r="H2" s="61"/>
      <c r="I2" s="61"/>
    </row>
    <row r="3" spans="1:11" ht="27" customHeight="1">
      <c r="A3" s="162" t="s">
        <v>128</v>
      </c>
      <c r="B3" s="162"/>
      <c r="C3" s="30"/>
      <c r="D3" s="26" t="s">
        <v>129</v>
      </c>
      <c r="E3" s="26" t="s">
        <v>130</v>
      </c>
      <c r="G3" s="61"/>
      <c r="H3"/>
      <c r="I3" s="61"/>
    </row>
    <row r="4" spans="1:11" ht="29.15" customHeight="1">
      <c r="A4" s="162" t="s">
        <v>131</v>
      </c>
      <c r="B4" s="162"/>
      <c r="C4" s="30"/>
      <c r="D4" s="26" t="s">
        <v>132</v>
      </c>
      <c r="E4" s="26" t="s">
        <v>130</v>
      </c>
      <c r="G4" s="61"/>
      <c r="I4" s="76"/>
    </row>
    <row r="5" spans="1:11" ht="20.399999999999999" customHeight="1">
      <c r="A5" s="162" t="s">
        <v>133</v>
      </c>
      <c r="B5" s="162"/>
      <c r="C5" s="62"/>
      <c r="D5" s="26" t="s">
        <v>132</v>
      </c>
      <c r="E5" s="26" t="s">
        <v>134</v>
      </c>
      <c r="G5" s="61"/>
      <c r="H5"/>
      <c r="I5" s="61"/>
    </row>
    <row r="6" spans="1:11" ht="20.399999999999999" customHeight="1">
      <c r="A6" s="163" t="s">
        <v>135</v>
      </c>
      <c r="B6" s="164"/>
      <c r="C6" s="63" t="s">
        <v>136</v>
      </c>
      <c r="D6" s="26" t="s">
        <v>137</v>
      </c>
      <c r="E6" s="26" t="s">
        <v>134</v>
      </c>
      <c r="G6" s="61"/>
      <c r="H6"/>
      <c r="I6" s="61"/>
    </row>
    <row r="7" spans="1:11" ht="20.399999999999999" customHeight="1">
      <c r="A7" s="155" t="s">
        <v>138</v>
      </c>
      <c r="B7" s="156"/>
      <c r="C7" s="63" t="s">
        <v>139</v>
      </c>
      <c r="D7" s="26" t="s">
        <v>137</v>
      </c>
      <c r="E7" s="26" t="s">
        <v>134</v>
      </c>
      <c r="G7" s="61"/>
      <c r="H7"/>
      <c r="I7" s="61"/>
    </row>
    <row r="8" spans="1:11" s="12" customFormat="1" ht="30" customHeight="1">
      <c r="A8" s="22" t="s">
        <v>140</v>
      </c>
      <c r="B8" s="22"/>
      <c r="C8" s="22"/>
      <c r="D8" s="22"/>
      <c r="E8" s="22"/>
      <c r="I8" s="77"/>
      <c r="J8" s="77"/>
    </row>
    <row r="9" spans="1:11" ht="20.25" customHeight="1">
      <c r="A9" s="157" t="s">
        <v>141</v>
      </c>
      <c r="B9" s="158"/>
      <c r="C9" s="158"/>
      <c r="D9" s="158"/>
      <c r="E9" s="159"/>
      <c r="F9" s="30" t="s">
        <v>60</v>
      </c>
      <c r="I9" s="61"/>
      <c r="J9" s="61"/>
    </row>
    <row r="10" spans="1:11" ht="20.25" customHeight="1">
      <c r="A10" s="157" t="s">
        <v>142</v>
      </c>
      <c r="B10" s="158"/>
      <c r="C10" s="158"/>
      <c r="D10" s="158"/>
      <c r="E10" s="159"/>
      <c r="F10" s="39"/>
      <c r="I10" s="61"/>
      <c r="J10" s="61"/>
    </row>
    <row r="11" spans="1:11" s="12" customFormat="1" ht="30" customHeight="1">
      <c r="A11" s="22" t="s">
        <v>143</v>
      </c>
      <c r="B11" s="160" t="s">
        <v>144</v>
      </c>
      <c r="C11" s="160"/>
      <c r="D11" s="160"/>
      <c r="E11" s="160"/>
      <c r="F11" s="160"/>
      <c r="I11" s="77"/>
      <c r="J11" s="77"/>
      <c r="K11" s="77"/>
    </row>
    <row r="12" spans="1:11" ht="20.25" customHeight="1">
      <c r="A12" s="115" t="s">
        <v>145</v>
      </c>
      <c r="B12" s="116"/>
      <c r="C12" s="116"/>
      <c r="D12" s="116"/>
      <c r="E12" s="117"/>
      <c r="F12" s="30" t="s">
        <v>60</v>
      </c>
      <c r="I12" s="61"/>
      <c r="J12" s="61"/>
      <c r="K12" s="61"/>
    </row>
    <row r="13" spans="1:11" ht="20.25" customHeight="1">
      <c r="A13" s="115" t="s">
        <v>146</v>
      </c>
      <c r="B13" s="116"/>
      <c r="C13" s="116" t="s">
        <v>93</v>
      </c>
      <c r="D13" s="116" t="s">
        <v>93</v>
      </c>
      <c r="E13" s="117" t="s">
        <v>93</v>
      </c>
      <c r="F13" s="30" t="s">
        <v>60</v>
      </c>
      <c r="I13" s="61"/>
      <c r="J13" s="61"/>
      <c r="K13" s="61"/>
    </row>
    <row r="14" spans="1:11" ht="20.25" customHeight="1">
      <c r="A14" s="115" t="s">
        <v>147</v>
      </c>
      <c r="B14" s="116"/>
      <c r="C14" s="116"/>
      <c r="D14" s="116"/>
      <c r="E14" s="117"/>
      <c r="F14" s="38"/>
      <c r="I14" s="61"/>
      <c r="J14" s="61"/>
      <c r="K14" s="61"/>
    </row>
    <row r="15" spans="1:11" ht="20.25" customHeight="1">
      <c r="A15" s="115" t="s">
        <v>148</v>
      </c>
      <c r="B15" s="116"/>
      <c r="C15" s="116" t="s">
        <v>93</v>
      </c>
      <c r="D15" s="116" t="s">
        <v>93</v>
      </c>
      <c r="E15" s="117" t="s">
        <v>93</v>
      </c>
      <c r="F15" s="30" t="s">
        <v>60</v>
      </c>
      <c r="I15" s="61"/>
      <c r="J15" s="61"/>
      <c r="K15" s="61"/>
    </row>
    <row r="16" spans="1:11" ht="20.25" customHeight="1">
      <c r="A16" s="115" t="s">
        <v>149</v>
      </c>
      <c r="B16" s="116"/>
      <c r="C16" s="116"/>
      <c r="D16" s="116"/>
      <c r="E16" s="117"/>
      <c r="F16" s="38"/>
      <c r="I16" s="61"/>
      <c r="J16" s="61"/>
      <c r="K16" s="61"/>
    </row>
    <row r="17" spans="1:7" s="12" customFormat="1" ht="30" customHeight="1">
      <c r="A17" s="22" t="s">
        <v>150</v>
      </c>
      <c r="B17" s="64" t="s">
        <v>151</v>
      </c>
      <c r="C17" s="65"/>
      <c r="D17" s="65"/>
      <c r="E17" s="22"/>
      <c r="F17" s="14"/>
      <c r="G17" s="14"/>
    </row>
    <row r="18" spans="1:7" ht="54.75" customHeight="1">
      <c r="A18" s="66" t="s">
        <v>152</v>
      </c>
      <c r="B18" s="67" t="s">
        <v>153</v>
      </c>
      <c r="C18" s="67" t="s">
        <v>154</v>
      </c>
      <c r="D18" s="67" t="s">
        <v>155</v>
      </c>
      <c r="E18" s="67" t="s">
        <v>156</v>
      </c>
      <c r="F18" s="67" t="s">
        <v>157</v>
      </c>
      <c r="G18" s="68"/>
    </row>
    <row r="19" spans="1:7" ht="24.9" customHeight="1">
      <c r="A19" s="69" t="s">
        <v>158</v>
      </c>
      <c r="B19" s="70" t="s">
        <v>159</v>
      </c>
      <c r="C19" s="71" t="s">
        <v>16</v>
      </c>
      <c r="D19" s="71" t="s">
        <v>16</v>
      </c>
      <c r="E19" s="71" t="s">
        <v>16</v>
      </c>
      <c r="F19" s="71" t="s">
        <v>16</v>
      </c>
      <c r="G19" s="72" t="s">
        <v>160</v>
      </c>
    </row>
    <row r="20" spans="1:7" ht="24.9" customHeight="1">
      <c r="A20" s="69" t="s">
        <v>161</v>
      </c>
      <c r="B20" s="70" t="s">
        <v>162</v>
      </c>
      <c r="C20" s="71" t="s">
        <v>16</v>
      </c>
      <c r="D20" s="71" t="s">
        <v>16</v>
      </c>
      <c r="E20" s="71" t="s">
        <v>16</v>
      </c>
      <c r="F20" s="71" t="s">
        <v>16</v>
      </c>
      <c r="G20" s="72"/>
    </row>
    <row r="21" spans="1:7" ht="24.9" customHeight="1">
      <c r="A21" s="69" t="s">
        <v>163</v>
      </c>
      <c r="B21" s="70" t="s">
        <v>162</v>
      </c>
      <c r="C21" s="71" t="s">
        <v>16</v>
      </c>
      <c r="D21" s="71" t="s">
        <v>16</v>
      </c>
      <c r="E21" s="71" t="s">
        <v>16</v>
      </c>
      <c r="F21" s="71" t="s">
        <v>16</v>
      </c>
      <c r="G21" s="68"/>
    </row>
    <row r="22" spans="1:7" ht="24.9" customHeight="1">
      <c r="A22" s="69" t="s">
        <v>164</v>
      </c>
      <c r="B22" s="70" t="s">
        <v>162</v>
      </c>
      <c r="C22" s="73" t="s">
        <v>165</v>
      </c>
      <c r="D22" s="71" t="s">
        <v>16</v>
      </c>
      <c r="E22" s="73" t="s">
        <v>165</v>
      </c>
      <c r="F22" s="108" t="s">
        <v>166</v>
      </c>
      <c r="G22" s="68"/>
    </row>
    <row r="23" spans="1:7" ht="24.9" customHeight="1">
      <c r="A23" s="69" t="s">
        <v>167</v>
      </c>
      <c r="B23" s="70" t="s">
        <v>162</v>
      </c>
      <c r="C23" s="71" t="s">
        <v>16</v>
      </c>
      <c r="D23" s="71" t="s">
        <v>16</v>
      </c>
      <c r="E23" s="71" t="s">
        <v>16</v>
      </c>
      <c r="F23" s="71" t="s">
        <v>16</v>
      </c>
      <c r="G23" s="74"/>
    </row>
    <row r="24" spans="1:7" ht="24.9" customHeight="1">
      <c r="A24" s="69" t="s">
        <v>168</v>
      </c>
      <c r="B24" s="70" t="s">
        <v>169</v>
      </c>
      <c r="C24" s="73" t="s">
        <v>165</v>
      </c>
      <c r="D24" s="71" t="s">
        <v>170</v>
      </c>
      <c r="E24" s="108" t="s">
        <v>291</v>
      </c>
      <c r="F24" s="108" t="s">
        <v>166</v>
      </c>
      <c r="G24" s="74"/>
    </row>
    <row r="25" spans="1:7" ht="24.9" customHeight="1">
      <c r="A25" s="69" t="s">
        <v>171</v>
      </c>
      <c r="B25" s="70" t="s">
        <v>169</v>
      </c>
      <c r="C25" s="71" t="s">
        <v>16</v>
      </c>
      <c r="D25" s="71" t="s">
        <v>16</v>
      </c>
      <c r="E25" s="71" t="s">
        <v>16</v>
      </c>
      <c r="F25" s="71" t="s">
        <v>16</v>
      </c>
      <c r="G25" s="74"/>
    </row>
    <row r="26" spans="1:7" ht="24.9" customHeight="1">
      <c r="A26" s="69" t="s">
        <v>172</v>
      </c>
      <c r="B26" s="70" t="s">
        <v>169</v>
      </c>
      <c r="C26" s="71" t="s">
        <v>16</v>
      </c>
      <c r="D26" s="71" t="s">
        <v>16</v>
      </c>
      <c r="E26" s="71" t="s">
        <v>16</v>
      </c>
      <c r="F26" s="71" t="s">
        <v>16</v>
      </c>
      <c r="G26" s="74"/>
    </row>
    <row r="27" spans="1:7" ht="24.9" customHeight="1">
      <c r="A27" s="69" t="s">
        <v>173</v>
      </c>
      <c r="B27" s="70" t="s">
        <v>169</v>
      </c>
      <c r="C27" s="73" t="s">
        <v>174</v>
      </c>
      <c r="D27" s="71" t="s">
        <v>170</v>
      </c>
      <c r="E27" s="108" t="s">
        <v>170</v>
      </c>
      <c r="F27" s="108" t="s">
        <v>166</v>
      </c>
      <c r="G27" s="74"/>
    </row>
    <row r="28" spans="1:7" ht="24.9" customHeight="1">
      <c r="A28" s="69" t="s">
        <v>175</v>
      </c>
      <c r="B28" s="70" t="s">
        <v>169</v>
      </c>
      <c r="C28" s="71" t="s">
        <v>16</v>
      </c>
      <c r="D28" s="71" t="s">
        <v>16</v>
      </c>
      <c r="E28" s="71" t="s">
        <v>16</v>
      </c>
      <c r="F28" s="71" t="s">
        <v>16</v>
      </c>
      <c r="G28" s="74"/>
    </row>
    <row r="29" spans="1:7" ht="24.9" customHeight="1">
      <c r="A29" s="69" t="s">
        <v>176</v>
      </c>
      <c r="B29" s="70" t="s">
        <v>169</v>
      </c>
      <c r="C29" s="71" t="s">
        <v>16</v>
      </c>
      <c r="D29" s="71" t="s">
        <v>16</v>
      </c>
      <c r="E29" s="71" t="s">
        <v>16</v>
      </c>
      <c r="F29" s="71" t="s">
        <v>16</v>
      </c>
      <c r="G29" s="74"/>
    </row>
    <row r="30" spans="1:7" ht="24.9" customHeight="1">
      <c r="A30" s="69" t="s">
        <v>177</v>
      </c>
      <c r="B30" s="70" t="s">
        <v>169</v>
      </c>
      <c r="C30" s="71" t="s">
        <v>16</v>
      </c>
      <c r="D30" s="71" t="s">
        <v>16</v>
      </c>
      <c r="E30" s="71" t="s">
        <v>16</v>
      </c>
      <c r="F30" s="71" t="s">
        <v>16</v>
      </c>
      <c r="G30" s="74"/>
    </row>
    <row r="31" spans="1:7" ht="24.9" customHeight="1">
      <c r="A31" s="69" t="s">
        <v>178</v>
      </c>
      <c r="B31" s="70" t="s">
        <v>169</v>
      </c>
      <c r="C31" s="71" t="s">
        <v>16</v>
      </c>
      <c r="D31" s="71" t="s">
        <v>16</v>
      </c>
      <c r="E31" s="71" t="s">
        <v>16</v>
      </c>
      <c r="F31" s="71" t="s">
        <v>16</v>
      </c>
      <c r="G31" s="74"/>
    </row>
    <row r="32" spans="1:7" ht="24.9" customHeight="1">
      <c r="A32" s="69" t="s">
        <v>179</v>
      </c>
      <c r="B32" s="70" t="s">
        <v>169</v>
      </c>
      <c r="C32" s="71" t="s">
        <v>16</v>
      </c>
      <c r="D32" s="71" t="s">
        <v>16</v>
      </c>
      <c r="E32" s="71" t="s">
        <v>16</v>
      </c>
      <c r="F32" s="71" t="s">
        <v>16</v>
      </c>
      <c r="G32" s="74"/>
    </row>
    <row r="33" spans="1:7" ht="24.9" customHeight="1">
      <c r="A33" s="69" t="s">
        <v>180</v>
      </c>
      <c r="B33" s="70" t="s">
        <v>169</v>
      </c>
      <c r="C33" s="71" t="s">
        <v>16</v>
      </c>
      <c r="D33" s="71" t="s">
        <v>16</v>
      </c>
      <c r="E33" s="71" t="s">
        <v>16</v>
      </c>
      <c r="F33" s="71" t="s">
        <v>16</v>
      </c>
      <c r="G33" s="74"/>
    </row>
    <row r="34" spans="1:7" ht="26.15" customHeight="1">
      <c r="A34" s="69" t="s">
        <v>181</v>
      </c>
      <c r="B34" s="70" t="s">
        <v>169</v>
      </c>
      <c r="C34" s="71" t="s">
        <v>16</v>
      </c>
      <c r="D34" s="71" t="s">
        <v>16</v>
      </c>
      <c r="E34" s="71" t="s">
        <v>16</v>
      </c>
      <c r="F34" s="71" t="s">
        <v>16</v>
      </c>
      <c r="G34" s="74"/>
    </row>
    <row r="35" spans="1:7" ht="24.9" customHeight="1">
      <c r="A35" s="69" t="s">
        <v>182</v>
      </c>
      <c r="B35" s="70" t="s">
        <v>162</v>
      </c>
      <c r="C35" s="71" t="s">
        <v>16</v>
      </c>
      <c r="D35" s="71" t="s">
        <v>16</v>
      </c>
      <c r="E35" s="71" t="s">
        <v>16</v>
      </c>
      <c r="F35" s="71" t="s">
        <v>16</v>
      </c>
      <c r="G35" s="74"/>
    </row>
    <row r="36" spans="1:7" s="12" customFormat="1" ht="30" customHeight="1">
      <c r="A36" s="22" t="s">
        <v>183</v>
      </c>
      <c r="B36" s="22"/>
      <c r="C36" s="22"/>
      <c r="E36" s="75"/>
    </row>
    <row r="37" spans="1:7" ht="15.5">
      <c r="A37" s="151" t="s">
        <v>184</v>
      </c>
      <c r="B37" s="151"/>
      <c r="C37" s="152" t="s">
        <v>185</v>
      </c>
      <c r="D37" s="153"/>
      <c r="E37" s="154"/>
    </row>
    <row r="38" spans="1:7">
      <c r="A38" s="143" t="s">
        <v>186</v>
      </c>
      <c r="B38" s="143"/>
      <c r="C38" s="144" t="s">
        <v>186</v>
      </c>
      <c r="D38" s="145"/>
      <c r="E38" s="146"/>
    </row>
    <row r="39" spans="1:7" ht="291" customHeight="1">
      <c r="A39" s="147" t="s">
        <v>187</v>
      </c>
      <c r="B39" s="147"/>
      <c r="C39" s="148" t="s">
        <v>188</v>
      </c>
      <c r="D39" s="149"/>
      <c r="E39" s="150"/>
    </row>
  </sheetData>
  <mergeCells count="20">
    <mergeCell ref="A2:B2"/>
    <mergeCell ref="A3:B3"/>
    <mergeCell ref="A4:B4"/>
    <mergeCell ref="A5:B5"/>
    <mergeCell ref="A6:B6"/>
    <mergeCell ref="A7:B7"/>
    <mergeCell ref="A9:E9"/>
    <mergeCell ref="A10:E10"/>
    <mergeCell ref="B11:F11"/>
    <mergeCell ref="A12:E12"/>
    <mergeCell ref="A38:B38"/>
    <mergeCell ref="C38:E38"/>
    <mergeCell ref="A39:B39"/>
    <mergeCell ref="C39:E39"/>
    <mergeCell ref="A13:E13"/>
    <mergeCell ref="A14:E14"/>
    <mergeCell ref="A15:E15"/>
    <mergeCell ref="A16:E16"/>
    <mergeCell ref="A37:B37"/>
    <mergeCell ref="C37:E37"/>
  </mergeCells>
  <printOptions verticalCentered="1"/>
  <pageMargins left="0.39370078740157499" right="0.39370078740157499" top="0.98425196850393704" bottom="0.98425196850393704" header="0.39370078740157499" footer="0.39370078740157499"/>
  <pageSetup paperSize="9" scale="65" orientation="portrait"/>
  <headerFooter>
    <oddHeader>&amp;C&amp;G&amp;R&amp;9The Basic Ingredients Ltd
&amp;8 18 Platt Street, London, NW1 1RP     
T: 44(0)1727 760880
Registered No. 11242078
Registered in the UK</oddHeader>
    <oddFooter>&amp;L&amp;"-,Bold"&amp;9Doc Name: Food Specification   Doc Number: BASIC-18   Version: V07  Issue Date: 01/10/2024
Issued By: Nancy Deng  Authorised By: Emma Du&amp;C
&amp;R&amp;"-,Bold"&amp;10Confidential&amp;"-,Regular"
&amp;D - Page &amp;P of 5</oddFooter>
  </headerFooter>
  <drawing r:id="rId1"/>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H33"/>
  <sheetViews>
    <sheetView topLeftCell="A20" zoomScale="70" zoomScaleNormal="70" zoomScalePageLayoutView="85" workbookViewId="0">
      <selection activeCell="B27" sqref="B27"/>
    </sheetView>
  </sheetViews>
  <sheetFormatPr defaultColWidth="9.08984375" defaultRowHeight="14.5"/>
  <cols>
    <col min="1" max="1" width="28.08984375" style="33" customWidth="1"/>
    <col min="2" max="2" width="32.90625" style="33" customWidth="1"/>
    <col min="3" max="3" width="38.36328125" style="33" customWidth="1"/>
    <col min="4" max="4" width="16.54296875" style="33" customWidth="1"/>
    <col min="5" max="5" width="3.54296875" style="33" customWidth="1"/>
    <col min="6" max="6" width="14.36328125" style="33" customWidth="1"/>
    <col min="7" max="7" width="13.453125" style="33" customWidth="1"/>
    <col min="8" max="8" width="32.36328125" style="33" customWidth="1"/>
    <col min="9" max="9" width="12.36328125" style="33" customWidth="1"/>
    <col min="10" max="10" width="15.54296875" style="33" customWidth="1"/>
    <col min="11" max="16384" width="9.08984375" style="33"/>
  </cols>
  <sheetData>
    <row r="1" spans="1:8" ht="30" customHeight="1">
      <c r="A1" s="36" t="s">
        <v>189</v>
      </c>
      <c r="B1" s="36"/>
      <c r="C1" s="36"/>
      <c r="F1" s="37"/>
      <c r="H1" s="37"/>
    </row>
    <row r="2" spans="1:8">
      <c r="A2" s="38"/>
      <c r="B2" s="24" t="s">
        <v>190</v>
      </c>
      <c r="C2" s="24" t="s">
        <v>191</v>
      </c>
      <c r="H2" s="37"/>
    </row>
    <row r="3" spans="1:8" ht="24.9" customHeight="1">
      <c r="A3" s="32" t="s">
        <v>192</v>
      </c>
      <c r="B3" s="39" t="s">
        <v>16</v>
      </c>
      <c r="C3" s="40" t="s">
        <v>16</v>
      </c>
      <c r="H3" s="37"/>
    </row>
    <row r="4" spans="1:8" ht="24.9" customHeight="1">
      <c r="A4" s="32" t="s">
        <v>193</v>
      </c>
      <c r="B4" s="39">
        <v>0.46</v>
      </c>
      <c r="C4" s="39">
        <v>5.52</v>
      </c>
      <c r="H4" s="37"/>
    </row>
    <row r="5" spans="1:8" ht="24.9" customHeight="1">
      <c r="A5" s="32" t="s">
        <v>194</v>
      </c>
      <c r="B5" s="39">
        <v>0.69599999999999995</v>
      </c>
      <c r="C5" s="39">
        <v>10.5</v>
      </c>
      <c r="H5" s="37"/>
    </row>
    <row r="6" spans="1:8" ht="24.9" customHeight="1">
      <c r="A6" s="115" t="s">
        <v>195</v>
      </c>
      <c r="B6" s="116"/>
      <c r="C6" s="116"/>
      <c r="D6" s="117"/>
      <c r="E6" s="39" t="s">
        <v>93</v>
      </c>
      <c r="F6" s="39" t="s">
        <v>60</v>
      </c>
    </row>
    <row r="7" spans="1:8" ht="24.9" customHeight="1">
      <c r="A7" s="115" t="s">
        <v>196</v>
      </c>
      <c r="B7" s="116"/>
      <c r="C7" s="116"/>
      <c r="D7" s="117" t="s">
        <v>93</v>
      </c>
      <c r="E7" s="39" t="s">
        <v>93</v>
      </c>
      <c r="F7" s="39" t="s">
        <v>60</v>
      </c>
      <c r="G7" s="41"/>
    </row>
    <row r="8" spans="1:8" ht="24.9" customHeight="1">
      <c r="A8" s="115" t="s">
        <v>197</v>
      </c>
      <c r="B8" s="116"/>
      <c r="C8" s="116"/>
      <c r="D8" s="117"/>
      <c r="E8" s="39" t="s">
        <v>93</v>
      </c>
      <c r="F8" s="39" t="s">
        <v>16</v>
      </c>
    </row>
    <row r="9" spans="1:8" ht="63.75" customHeight="1">
      <c r="A9" s="42" t="s">
        <v>198</v>
      </c>
    </row>
    <row r="10" spans="1:8" ht="39.75" customHeight="1">
      <c r="A10" s="43"/>
      <c r="B10" s="44" t="s">
        <v>199</v>
      </c>
      <c r="C10" s="44" t="s">
        <v>200</v>
      </c>
      <c r="D10" s="44" t="s">
        <v>201</v>
      </c>
      <c r="E10" s="118" t="s">
        <v>202</v>
      </c>
      <c r="F10" s="119"/>
    </row>
    <row r="11" spans="1:8" ht="15" customHeight="1">
      <c r="A11" s="45" t="s">
        <v>203</v>
      </c>
      <c r="B11" s="112" t="s">
        <v>204</v>
      </c>
      <c r="C11" s="112"/>
      <c r="D11" s="112" t="s">
        <v>205</v>
      </c>
      <c r="E11" s="21" t="s">
        <v>206</v>
      </c>
      <c r="F11" s="46">
        <v>65.8</v>
      </c>
    </row>
    <row r="12" spans="1:8" ht="15" customHeight="1">
      <c r="A12" s="47" t="s">
        <v>207</v>
      </c>
      <c r="B12" s="113"/>
      <c r="C12" s="113"/>
      <c r="D12" s="113"/>
      <c r="E12" s="21" t="s">
        <v>208</v>
      </c>
      <c r="F12" s="46">
        <v>65.8</v>
      </c>
    </row>
    <row r="13" spans="1:8" ht="15" customHeight="1">
      <c r="A13" s="47"/>
      <c r="B13" s="114"/>
      <c r="C13" s="114"/>
      <c r="D13" s="114"/>
      <c r="E13" s="21" t="s">
        <v>209</v>
      </c>
      <c r="F13" s="46">
        <v>251</v>
      </c>
    </row>
    <row r="14" spans="1:8" ht="15" customHeight="1">
      <c r="A14" s="45" t="s">
        <v>210</v>
      </c>
      <c r="B14" s="112" t="s">
        <v>211</v>
      </c>
      <c r="C14" s="112"/>
      <c r="D14" s="112" t="s">
        <v>212</v>
      </c>
      <c r="E14" s="21" t="s">
        <v>206</v>
      </c>
      <c r="F14" s="46">
        <v>80</v>
      </c>
    </row>
    <row r="15" spans="1:8" ht="15" customHeight="1">
      <c r="A15" s="47" t="s">
        <v>207</v>
      </c>
      <c r="B15" s="113"/>
      <c r="C15" s="113"/>
      <c r="D15" s="113"/>
      <c r="E15" s="21" t="s">
        <v>208</v>
      </c>
      <c r="F15" s="46">
        <v>80</v>
      </c>
    </row>
    <row r="16" spans="1:8" ht="15" customHeight="1">
      <c r="A16" s="48">
        <v>5060740660372</v>
      </c>
      <c r="B16" s="114"/>
      <c r="C16" s="114"/>
      <c r="D16" s="114"/>
      <c r="E16" s="21" t="s">
        <v>209</v>
      </c>
      <c r="F16" s="46">
        <v>310</v>
      </c>
    </row>
    <row r="17" spans="1:8" ht="15" customHeight="1">
      <c r="A17" s="45" t="s">
        <v>213</v>
      </c>
      <c r="B17" s="112" t="s">
        <v>211</v>
      </c>
      <c r="C17" s="112"/>
      <c r="D17" s="112" t="s">
        <v>214</v>
      </c>
      <c r="E17" s="21" t="s">
        <v>206</v>
      </c>
      <c r="F17" s="46">
        <v>366</v>
      </c>
      <c r="G17" s="38">
        <f>F17*3</f>
        <v>1098</v>
      </c>
      <c r="H17" s="41"/>
    </row>
    <row r="18" spans="1:8" ht="15" customHeight="1">
      <c r="A18" s="47" t="s">
        <v>207</v>
      </c>
      <c r="B18" s="113"/>
      <c r="C18" s="113"/>
      <c r="D18" s="113"/>
      <c r="E18" s="21" t="s">
        <v>208</v>
      </c>
      <c r="F18" s="46">
        <v>262</v>
      </c>
      <c r="G18" s="38">
        <f>F17*2+F18</f>
        <v>994</v>
      </c>
    </row>
    <row r="19" spans="1:8" ht="15" customHeight="1">
      <c r="A19" s="49" t="s">
        <v>215</v>
      </c>
      <c r="B19" s="114"/>
      <c r="C19" s="114"/>
      <c r="D19" s="114"/>
      <c r="E19" s="21" t="s">
        <v>209</v>
      </c>
      <c r="F19" s="46">
        <v>337</v>
      </c>
    </row>
    <row r="20" spans="1:8" ht="15" customHeight="1">
      <c r="A20" s="50" t="s">
        <v>216</v>
      </c>
      <c r="B20" s="51">
        <v>882</v>
      </c>
      <c r="C20" s="52"/>
      <c r="D20" s="25"/>
      <c r="E20" s="37"/>
      <c r="F20" s="37"/>
    </row>
    <row r="21" spans="1:8" ht="15" customHeight="1">
      <c r="A21" s="50" t="s">
        <v>217</v>
      </c>
      <c r="B21" s="51">
        <v>1862</v>
      </c>
      <c r="C21" s="52"/>
      <c r="D21" s="25"/>
      <c r="E21" s="37"/>
      <c r="F21" s="37"/>
    </row>
    <row r="22" spans="1:8" ht="15" customHeight="1">
      <c r="A22" s="53"/>
      <c r="B22" s="25"/>
      <c r="C22" s="25"/>
      <c r="D22" s="25"/>
      <c r="E22" s="25"/>
    </row>
    <row r="23" spans="1:8" ht="30" customHeight="1">
      <c r="A23" s="42" t="s">
        <v>218</v>
      </c>
    </row>
    <row r="24" spans="1:8" ht="48.75" customHeight="1">
      <c r="A24" s="38"/>
      <c r="B24" s="24" t="s">
        <v>219</v>
      </c>
      <c r="C24" s="24" t="s">
        <v>220</v>
      </c>
    </row>
    <row r="25" spans="1:8" ht="20.25" customHeight="1">
      <c r="A25" s="32" t="s">
        <v>221</v>
      </c>
      <c r="B25" s="39">
        <v>11</v>
      </c>
      <c r="C25" s="110">
        <v>9</v>
      </c>
    </row>
    <row r="26" spans="1:8" ht="20.25" customHeight="1">
      <c r="A26" s="32" t="s">
        <v>222</v>
      </c>
      <c r="B26" s="39">
        <v>5</v>
      </c>
      <c r="C26" s="39">
        <v>5</v>
      </c>
    </row>
    <row r="27" spans="1:8" ht="20.25" customHeight="1">
      <c r="A27" s="32" t="s">
        <v>223</v>
      </c>
      <c r="B27" s="39">
        <f>B25*B26</f>
        <v>55</v>
      </c>
      <c r="C27" s="39">
        <f>C25*C26</f>
        <v>45</v>
      </c>
    </row>
    <row r="28" spans="1:8" ht="20.25" customHeight="1">
      <c r="A28" s="32" t="s">
        <v>224</v>
      </c>
      <c r="B28" s="40">
        <f>F19/1000*B26</f>
        <v>1.6850000000000001</v>
      </c>
      <c r="C28" s="40">
        <f>F19/1000*C26</f>
        <v>1.6850000000000001</v>
      </c>
    </row>
    <row r="29" spans="1:8" ht="30.75" customHeight="1">
      <c r="A29" s="32" t="s">
        <v>225</v>
      </c>
      <c r="B29" s="40">
        <f>B28+0.145</f>
        <v>1.83</v>
      </c>
      <c r="C29" s="40">
        <f>C28+0.145</f>
        <v>1.83</v>
      </c>
    </row>
    <row r="30" spans="1:8" ht="20.25" customHeight="1">
      <c r="A30" s="32" t="s">
        <v>226</v>
      </c>
      <c r="B30" s="54">
        <f>C5*B27</f>
        <v>577.5</v>
      </c>
      <c r="C30" s="54">
        <f>C5*C27</f>
        <v>472.5</v>
      </c>
    </row>
    <row r="31" spans="1:8" ht="381" customHeight="1">
      <c r="A31" s="32" t="s">
        <v>227</v>
      </c>
      <c r="B31" s="55"/>
      <c r="C31" s="55"/>
    </row>
    <row r="32" spans="1:8">
      <c r="A32" s="56" t="s">
        <v>228</v>
      </c>
    </row>
    <row r="33" spans="1:1">
      <c r="A33" s="33" t="s">
        <v>229</v>
      </c>
    </row>
  </sheetData>
  <mergeCells count="13">
    <mergeCell ref="A6:D6"/>
    <mergeCell ref="A7:D7"/>
    <mergeCell ref="A8:D8"/>
    <mergeCell ref="E10:F10"/>
    <mergeCell ref="B11:B13"/>
    <mergeCell ref="D11:D13"/>
    <mergeCell ref="D14:D16"/>
    <mergeCell ref="D17:D19"/>
    <mergeCell ref="B14:B16"/>
    <mergeCell ref="B17:B19"/>
    <mergeCell ref="C11:C13"/>
    <mergeCell ref="C14:C16"/>
    <mergeCell ref="C17:C19"/>
  </mergeCells>
  <printOptions verticalCentered="1"/>
  <pageMargins left="0.39370078740157499" right="0.39370078740157499" top="0.98425196850393704" bottom="0.98425196850393704" header="0.39370078740157499" footer="0.39370078740157499"/>
  <pageSetup paperSize="9" scale="64" orientation="portrait" r:id="rId1"/>
  <headerFooter>
    <oddHeader>&amp;C&amp;G&amp;R&amp;9The Basic Ingredients Ltd
&amp;8 18 Platt Street, London, NW1 1RP, UK       
T: 44(0)1727 760880
Registered No. 11242078
Registered in the UK</oddHeader>
    <oddFooter>&amp;L&amp;"-,Bold"&amp;9
Doc Name: Food Specification   Doc Number: BASIC-18   Version: V07  Issue Date: 01/10/2024
Issued By: Nancy Deng  Authorised By: Emma Du&amp;C
&amp;R&amp;"-,Bold"&amp;10Confidential&amp;"-,Regular"
&amp;D - Page &amp;P of 5</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G30"/>
  <sheetViews>
    <sheetView topLeftCell="A17" zoomScale="81" zoomScaleNormal="81" zoomScalePageLayoutView="75" workbookViewId="0">
      <selection activeCell="B29" sqref="B29:E29"/>
    </sheetView>
  </sheetViews>
  <sheetFormatPr defaultColWidth="9.08984375" defaultRowHeight="14.5"/>
  <cols>
    <col min="1" max="1" width="29.08984375" style="13" customWidth="1"/>
    <col min="2" max="2" width="31.08984375" style="13" customWidth="1"/>
    <col min="3" max="3" width="12" style="13" customWidth="1"/>
    <col min="4" max="4" width="20.453125" style="13" customWidth="1"/>
    <col min="5" max="5" width="35.36328125" style="13" customWidth="1"/>
    <col min="6" max="6" width="12.08984375" style="13" customWidth="1"/>
    <col min="7" max="7" width="11.54296875" style="13" customWidth="1"/>
    <col min="8" max="16384" width="9.08984375" style="13"/>
  </cols>
  <sheetData>
    <row r="1" spans="1:7" s="12" customFormat="1" ht="30" customHeight="1">
      <c r="A1" s="180" t="s">
        <v>230</v>
      </c>
      <c r="B1" s="180"/>
      <c r="C1" s="180"/>
      <c r="D1" s="180"/>
      <c r="E1" s="180"/>
      <c r="F1" s="14"/>
    </row>
    <row r="2" spans="1:7" ht="24.9" customHeight="1">
      <c r="A2" s="181" t="s">
        <v>231</v>
      </c>
      <c r="B2" s="181"/>
      <c r="C2" s="181"/>
      <c r="D2" s="181"/>
      <c r="E2" s="181"/>
      <c r="F2" s="16"/>
    </row>
    <row r="3" spans="1:7" ht="78" customHeight="1">
      <c r="A3" s="182" t="s">
        <v>232</v>
      </c>
      <c r="B3" s="182"/>
      <c r="C3" s="182"/>
      <c r="D3" s="182"/>
      <c r="E3" s="182"/>
      <c r="F3" s="17"/>
    </row>
    <row r="4" spans="1:7" s="12" customFormat="1" ht="30" customHeight="1">
      <c r="A4" s="180" t="s">
        <v>233</v>
      </c>
      <c r="B4" s="180"/>
      <c r="C4" s="180"/>
      <c r="D4" s="180"/>
      <c r="E4" s="180"/>
      <c r="F4" s="14"/>
    </row>
    <row r="5" spans="1:7" ht="30" customHeight="1">
      <c r="A5" s="18" t="s">
        <v>234</v>
      </c>
      <c r="B5" s="161" t="s">
        <v>235</v>
      </c>
      <c r="C5" s="161"/>
      <c r="D5" s="18" t="s">
        <v>236</v>
      </c>
      <c r="E5" s="18" t="s">
        <v>237</v>
      </c>
      <c r="F5" s="19"/>
    </row>
    <row r="6" spans="1:7" ht="41.15" customHeight="1">
      <c r="A6" s="20" t="s">
        <v>238</v>
      </c>
      <c r="B6" s="163" t="s">
        <v>239</v>
      </c>
      <c r="C6" s="164"/>
      <c r="D6" s="20" t="s">
        <v>240</v>
      </c>
      <c r="E6" s="20" t="s">
        <v>241</v>
      </c>
    </row>
    <row r="7" spans="1:7" ht="27.9" customHeight="1">
      <c r="A7" s="20" t="s">
        <v>242</v>
      </c>
      <c r="B7" s="163" t="s">
        <v>243</v>
      </c>
      <c r="C7" s="164"/>
      <c r="D7" s="20" t="s">
        <v>244</v>
      </c>
      <c r="E7" s="20" t="s">
        <v>241</v>
      </c>
    </row>
    <row r="8" spans="1:7" ht="45.9" customHeight="1">
      <c r="A8" s="20" t="s">
        <v>245</v>
      </c>
      <c r="B8" s="163" t="s">
        <v>246</v>
      </c>
      <c r="C8" s="164"/>
      <c r="D8" s="20" t="s">
        <v>247</v>
      </c>
      <c r="E8" s="20" t="s">
        <v>241</v>
      </c>
    </row>
    <row r="9" spans="1:7" ht="24.9" customHeight="1">
      <c r="A9" s="20"/>
      <c r="B9" s="163"/>
      <c r="C9" s="164"/>
      <c r="D9" s="20"/>
      <c r="E9" s="20"/>
    </row>
    <row r="10" spans="1:7" s="12" customFormat="1" ht="30" customHeight="1">
      <c r="A10" s="22" t="s">
        <v>248</v>
      </c>
      <c r="G10" s="23"/>
    </row>
    <row r="11" spans="1:7">
      <c r="A11" s="179" t="s">
        <v>249</v>
      </c>
      <c r="B11" s="179"/>
      <c r="C11" s="179" t="s">
        <v>250</v>
      </c>
      <c r="D11" s="179"/>
      <c r="E11" s="179"/>
      <c r="F11" s="25"/>
    </row>
    <row r="12" spans="1:7" ht="30" customHeight="1">
      <c r="A12" s="167"/>
      <c r="B12" s="167"/>
      <c r="C12" s="167"/>
      <c r="D12" s="167"/>
      <c r="E12" s="167"/>
      <c r="F12" s="27"/>
    </row>
    <row r="13" spans="1:7" ht="30" customHeight="1">
      <c r="A13" s="167"/>
      <c r="B13" s="167"/>
      <c r="C13" s="167"/>
      <c r="D13" s="167"/>
      <c r="E13" s="167"/>
      <c r="F13" s="27"/>
    </row>
    <row r="14" spans="1:7" ht="57" customHeight="1">
      <c r="A14" s="167"/>
      <c r="B14" s="167"/>
      <c r="C14" s="167"/>
      <c r="D14" s="167"/>
      <c r="E14" s="167"/>
      <c r="F14" s="27"/>
    </row>
    <row r="15" spans="1:7" s="12" customFormat="1" ht="30" customHeight="1">
      <c r="A15" s="22" t="s">
        <v>251</v>
      </c>
    </row>
    <row r="16" spans="1:7" ht="29">
      <c r="A16" s="28" t="s">
        <v>252</v>
      </c>
      <c r="B16" s="174" t="s">
        <v>253</v>
      </c>
      <c r="C16" s="174"/>
      <c r="D16" s="174" t="s">
        <v>213</v>
      </c>
      <c r="E16" s="174"/>
      <c r="F16" s="29"/>
    </row>
    <row r="17" spans="1:6" ht="204.9" customHeight="1">
      <c r="A17" s="30"/>
      <c r="B17" s="175"/>
      <c r="C17" s="176"/>
      <c r="D17" s="175"/>
      <c r="E17" s="176"/>
      <c r="F17" s="27"/>
    </row>
    <row r="18" spans="1:6" s="12" customFormat="1" ht="30" customHeight="1">
      <c r="A18" s="177" t="s">
        <v>254</v>
      </c>
      <c r="B18" s="177"/>
      <c r="C18" s="177"/>
      <c r="D18" s="178"/>
      <c r="E18" s="178"/>
      <c r="F18" s="31"/>
    </row>
    <row r="19" spans="1:6" ht="323.14999999999998" customHeight="1">
      <c r="A19" s="171" t="s">
        <v>255</v>
      </c>
      <c r="B19" s="172"/>
      <c r="C19" s="172"/>
      <c r="D19" s="172"/>
      <c r="E19" s="173"/>
      <c r="F19" s="16"/>
    </row>
    <row r="20" spans="1:6" ht="20.25" customHeight="1">
      <c r="A20" s="32" t="s">
        <v>256</v>
      </c>
      <c r="B20" s="162" t="s">
        <v>257</v>
      </c>
      <c r="C20" s="162"/>
      <c r="D20" s="162"/>
      <c r="E20" s="162"/>
      <c r="F20" s="25"/>
    </row>
    <row r="21" spans="1:6" ht="20.25" customHeight="1">
      <c r="A21" s="32" t="s">
        <v>258</v>
      </c>
      <c r="B21" s="162"/>
      <c r="C21" s="162"/>
      <c r="D21" s="162"/>
      <c r="E21" s="162"/>
      <c r="F21" s="25"/>
    </row>
    <row r="22" spans="1:6" ht="20.25" customHeight="1">
      <c r="A22" s="32" t="s">
        <v>259</v>
      </c>
      <c r="B22" s="162" t="s">
        <v>260</v>
      </c>
      <c r="C22" s="162"/>
      <c r="D22" s="162"/>
      <c r="E22" s="162"/>
      <c r="F22" s="25"/>
    </row>
    <row r="23" spans="1:6" ht="20.25" customHeight="1">
      <c r="A23" s="32" t="s">
        <v>261</v>
      </c>
      <c r="B23" s="162" t="s">
        <v>262</v>
      </c>
      <c r="C23" s="162"/>
      <c r="D23" s="162"/>
      <c r="E23" s="162"/>
      <c r="F23" s="25"/>
    </row>
    <row r="24" spans="1:6" ht="20.25" customHeight="1">
      <c r="A24" s="32" t="s">
        <v>263</v>
      </c>
      <c r="B24" s="168">
        <v>45966</v>
      </c>
      <c r="C24" s="162"/>
      <c r="D24" s="162"/>
      <c r="E24" s="162"/>
      <c r="F24" s="25"/>
    </row>
    <row r="25" spans="1:6">
      <c r="A25" s="33"/>
      <c r="B25" s="25"/>
      <c r="C25" s="25"/>
      <c r="D25" s="25"/>
      <c r="E25" s="25"/>
      <c r="F25" s="25"/>
    </row>
    <row r="26" spans="1:6" ht="15.75" customHeight="1">
      <c r="A26" s="169" t="s">
        <v>264</v>
      </c>
      <c r="B26" s="169"/>
      <c r="C26" s="169"/>
      <c r="D26" s="169"/>
      <c r="E26" s="169"/>
      <c r="F26" s="34"/>
    </row>
    <row r="27" spans="1:6">
      <c r="A27" s="35" t="s">
        <v>258</v>
      </c>
      <c r="B27" s="166"/>
      <c r="C27" s="166"/>
      <c r="D27" s="166"/>
      <c r="E27" s="166"/>
      <c r="F27" s="25"/>
    </row>
    <row r="28" spans="1:6">
      <c r="A28" s="35" t="s">
        <v>259</v>
      </c>
      <c r="B28" s="170" t="s">
        <v>292</v>
      </c>
      <c r="C28" s="166"/>
      <c r="D28" s="166"/>
      <c r="E28" s="166"/>
      <c r="F28" s="25"/>
    </row>
    <row r="29" spans="1:6">
      <c r="A29" s="35" t="s">
        <v>261</v>
      </c>
      <c r="B29" s="166" t="s">
        <v>265</v>
      </c>
      <c r="C29" s="166"/>
      <c r="D29" s="166"/>
      <c r="E29" s="166"/>
      <c r="F29" s="25"/>
    </row>
    <row r="30" spans="1:6">
      <c r="A30" s="35" t="s">
        <v>263</v>
      </c>
      <c r="B30" s="165">
        <v>45969</v>
      </c>
      <c r="C30" s="166"/>
      <c r="D30" s="166"/>
      <c r="E30" s="166"/>
      <c r="F30" s="25"/>
    </row>
  </sheetData>
  <mergeCells count="30">
    <mergeCell ref="A1:E1"/>
    <mergeCell ref="A2:E2"/>
    <mergeCell ref="A3:E3"/>
    <mergeCell ref="A4:E4"/>
    <mergeCell ref="B5:C5"/>
    <mergeCell ref="D17:E17"/>
    <mergeCell ref="A18:C18"/>
    <mergeCell ref="D18:E18"/>
    <mergeCell ref="B6:C6"/>
    <mergeCell ref="B7:C7"/>
    <mergeCell ref="B8:C8"/>
    <mergeCell ref="B9:C9"/>
    <mergeCell ref="A11:B11"/>
    <mergeCell ref="C11:E11"/>
    <mergeCell ref="B30:E30"/>
    <mergeCell ref="A12:B14"/>
    <mergeCell ref="C12:E14"/>
    <mergeCell ref="B24:E24"/>
    <mergeCell ref="A26:E26"/>
    <mergeCell ref="B27:E27"/>
    <mergeCell ref="B28:E28"/>
    <mergeCell ref="B29:E29"/>
    <mergeCell ref="A19:E19"/>
    <mergeCell ref="B20:E20"/>
    <mergeCell ref="B21:E21"/>
    <mergeCell ref="B22:E22"/>
    <mergeCell ref="B23:E23"/>
    <mergeCell ref="B16:C16"/>
    <mergeCell ref="D16:E16"/>
    <mergeCell ref="B17:C17"/>
  </mergeCells>
  <printOptions verticalCentered="1"/>
  <pageMargins left="0.39370078740157499" right="0.39370078740157499" top="0.98425196850393704" bottom="0.98425196850393704" header="0.39370078740157499" footer="0.39370078740157499"/>
  <pageSetup paperSize="9" scale="66" orientation="portrait"/>
  <headerFooter>
    <oddHeader>&amp;C&amp;G&amp;R&amp;9The Basic Ingredients Ltd
&amp;8 18 Platt Street, London, NW1 1RP     
T: 44(0)1727 760880
Registered No. 11242078
Registered in the UK</oddHeader>
    <oddFooter>&amp;L&amp;"-,Bold"&amp;9Doc Name: Food Specification   Doc Number: BASIC-18   Version: V07  Issue Date: 01/10/2024
Issued By: Nancy Deng  Authorised By: Emma Du&amp;C
&amp;R&amp;"-,Bold"&amp;10Confidential&amp;"-,Regular"
 &amp;D - Page &amp;P of 5</oddFooter>
  </headerFooter>
  <legacyDrawingHF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
  <sheetViews>
    <sheetView tabSelected="1" topLeftCell="E1" zoomScale="70" zoomScaleNormal="70" zoomScalePageLayoutView="79" workbookViewId="0">
      <selection activeCell="H8" sqref="H8"/>
    </sheetView>
  </sheetViews>
  <sheetFormatPr defaultColWidth="9" defaultRowHeight="42" customHeight="1"/>
  <cols>
    <col min="1" max="1" width="18" customWidth="1"/>
    <col min="2" max="2" width="46" customWidth="1"/>
    <col min="3" max="3" width="55.54296875" customWidth="1"/>
    <col min="4" max="4" width="35.08984375" customWidth="1"/>
    <col min="5" max="5" width="48.54296875" customWidth="1"/>
    <col min="6" max="6" width="88.90625" customWidth="1"/>
  </cols>
  <sheetData>
    <row r="1" spans="1:6" ht="42" customHeight="1">
      <c r="A1" s="1"/>
      <c r="B1" s="1" t="s">
        <v>266</v>
      </c>
      <c r="C1" s="1" t="s">
        <v>267</v>
      </c>
      <c r="D1" s="1" t="s">
        <v>268</v>
      </c>
      <c r="E1" s="2" t="s">
        <v>269</v>
      </c>
      <c r="F1" s="3" t="s">
        <v>270</v>
      </c>
    </row>
    <row r="2" spans="1:6" ht="42" customHeight="1">
      <c r="A2" s="1" t="s">
        <v>271</v>
      </c>
      <c r="B2" s="4" t="s">
        <v>272</v>
      </c>
      <c r="C2" s="5"/>
      <c r="D2" s="4"/>
      <c r="E2" s="6" t="s">
        <v>273</v>
      </c>
      <c r="F2" s="7"/>
    </row>
    <row r="3" spans="1:6" ht="42" customHeight="1">
      <c r="A3" s="1" t="s">
        <v>274</v>
      </c>
      <c r="B3" s="4" t="s">
        <v>275</v>
      </c>
      <c r="C3" s="8"/>
      <c r="D3" s="4"/>
      <c r="E3" s="9">
        <v>1</v>
      </c>
      <c r="F3" s="10" t="s">
        <v>293</v>
      </c>
    </row>
    <row r="4" spans="1:6" ht="42" customHeight="1">
      <c r="A4" s="1" t="s">
        <v>276</v>
      </c>
      <c r="B4" s="4" t="s">
        <v>275</v>
      </c>
      <c r="C4" s="8"/>
      <c r="D4" s="4"/>
      <c r="E4" s="9">
        <v>2</v>
      </c>
      <c r="F4" s="111" t="s">
        <v>277</v>
      </c>
    </row>
    <row r="5" spans="1:6" ht="54.9" customHeight="1">
      <c r="A5" s="1" t="s">
        <v>278</v>
      </c>
      <c r="B5" s="4" t="s">
        <v>275</v>
      </c>
      <c r="C5" s="8"/>
      <c r="D5" s="4"/>
      <c r="E5" s="9">
        <v>3</v>
      </c>
      <c r="F5" s="3" t="s">
        <v>279</v>
      </c>
    </row>
    <row r="6" spans="1:6" ht="42" customHeight="1">
      <c r="A6" s="1" t="s">
        <v>280</v>
      </c>
      <c r="B6" s="4" t="s">
        <v>275</v>
      </c>
      <c r="C6" s="5"/>
      <c r="D6" s="4"/>
      <c r="E6" s="9">
        <v>4</v>
      </c>
      <c r="F6" s="111" t="s">
        <v>281</v>
      </c>
    </row>
    <row r="7" spans="1:6" ht="42" customHeight="1">
      <c r="A7" s="1" t="s">
        <v>282</v>
      </c>
      <c r="B7" s="4" t="s">
        <v>275</v>
      </c>
      <c r="C7" s="8"/>
      <c r="D7" s="4"/>
      <c r="E7" s="9">
        <v>5</v>
      </c>
      <c r="F7" s="111" t="s">
        <v>283</v>
      </c>
    </row>
    <row r="8" spans="1:6" ht="42" customHeight="1">
      <c r="A8" s="1" t="s">
        <v>284</v>
      </c>
      <c r="B8" s="4" t="s">
        <v>285</v>
      </c>
      <c r="C8" s="4"/>
      <c r="D8" s="4"/>
    </row>
    <row r="9" spans="1:6" ht="42" customHeight="1">
      <c r="A9" s="1" t="s">
        <v>286</v>
      </c>
      <c r="B9" s="4" t="s">
        <v>285</v>
      </c>
      <c r="C9" s="4"/>
      <c r="D9" s="4"/>
    </row>
    <row r="10" spans="1:6" ht="42" customHeight="1">
      <c r="A10" s="1" t="s">
        <v>287</v>
      </c>
      <c r="B10" s="4" t="s">
        <v>288</v>
      </c>
      <c r="C10" s="4"/>
      <c r="D10" s="4"/>
    </row>
    <row r="11" spans="1:6" ht="42" customHeight="1">
      <c r="A11" s="1" t="s">
        <v>289</v>
      </c>
      <c r="B11" s="4"/>
      <c r="C11" s="4"/>
      <c r="D11" s="4"/>
    </row>
    <row r="12" spans="1:6" ht="42" customHeight="1">
      <c r="A12" s="11" t="s">
        <v>290</v>
      </c>
    </row>
  </sheetData>
  <pageMargins left="0.25" right="0.25"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bb59413-afb5-4b9b-85e8-61d2b74a5666">
      <Terms xmlns="http://schemas.microsoft.com/office/infopath/2007/PartnerControls"/>
    </lcf76f155ced4ddcb4097134ff3c332f>
    <TaxCatchAll xmlns="4faae966-7260-43d3-ae92-efca4c8c38c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19C90FBB319384E9453BC654633A1BE" ma:contentTypeVersion="18" ma:contentTypeDescription="Create a new document." ma:contentTypeScope="" ma:versionID="f12f626cb4656acfa57bc6e2f51cc2d0">
  <xsd:schema xmlns:xsd="http://www.w3.org/2001/XMLSchema" xmlns:xs="http://www.w3.org/2001/XMLSchema" xmlns:p="http://schemas.microsoft.com/office/2006/metadata/properties" xmlns:ns2="3bb59413-afb5-4b9b-85e8-61d2b74a5666" xmlns:ns3="4faae966-7260-43d3-ae92-efca4c8c38c2" targetNamespace="http://schemas.microsoft.com/office/2006/metadata/properties" ma:root="true" ma:fieldsID="893be911098693cceb085112851dd985" ns2:_="" ns3:_="">
    <xsd:import namespace="3bb59413-afb5-4b9b-85e8-61d2b74a5666"/>
    <xsd:import namespace="4faae966-7260-43d3-ae92-efca4c8c38c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b59413-afb5-4b9b-85e8-61d2b74a56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aae966-7260-43d3-ae92-efca4c8c38c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7d0d89c-76ff-4c43-87e1-1290ff7c45d3}" ma:internalName="TaxCatchAll" ma:showField="CatchAllData" ma:web="4faae966-7260-43d3-ae92-efca4c8c3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5054EDF-03E2-459D-A531-9A9DADBF4F04}">
  <ds:schemaRefs/>
</ds:datastoreItem>
</file>

<file path=customXml/itemProps2.xml><?xml version="1.0" encoding="utf-8"?>
<ds:datastoreItem xmlns:ds="http://schemas.openxmlformats.org/officeDocument/2006/customXml" ds:itemID="{4723A5E2-595D-4512-981B-0DECE7E41C7F}">
  <ds:schemaRefs/>
</ds:datastoreItem>
</file>

<file path=customXml/itemProps3.xml><?xml version="1.0" encoding="utf-8"?>
<ds:datastoreItem xmlns:ds="http://schemas.openxmlformats.org/officeDocument/2006/customXml" ds:itemID="{6E58EE70-3A36-42B3-831C-6D79B82DC0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b59413-afb5-4b9b-85e8-61d2b74a5666"/>
    <ds:schemaRef ds:uri="4faae966-7260-43d3-ae92-efca4c8c38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1-5.Manufacturer &amp; product info</vt:lpstr>
      <vt:lpstr>6-8.Ingre&amp;Nutrition&amp;Allergens</vt:lpstr>
      <vt:lpstr>9-13.Quality Attributes </vt:lpstr>
      <vt:lpstr>14-16.Quantity&amp;packaging info</vt:lpstr>
      <vt:lpstr>17-21.HACCP,Artwork&amp;SpecAuthor.</vt:lpstr>
      <vt:lpstr>22.USP &amp; Content verification</vt:lpstr>
      <vt:lpstr>'14-16.Quantity&amp;packaging info'!Print_Area</vt:lpstr>
      <vt:lpstr>'1-5.Manufacturer &amp; product info'!Print_Area</vt:lpstr>
      <vt:lpstr>'17-21.HACCP,Artwork&amp;SpecAuthor.'!Print_Area</vt:lpstr>
      <vt:lpstr>'6-8.Ingre&amp;Nutrition&amp;Allergens'!Print_Area</vt:lpstr>
      <vt:lpstr>'9-13.Quality Attributes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hsuan</dc:creator>
  <cp:lastModifiedBy>James Clark</cp:lastModifiedBy>
  <cp:lastPrinted>2026-03-03T23:12:04Z</cp:lastPrinted>
  <dcterms:created xsi:type="dcterms:W3CDTF">2020-04-03T11:32:00Z</dcterms:created>
  <dcterms:modified xsi:type="dcterms:W3CDTF">2026-04-22T07:31:59Z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0x010100A19C90FBB319384E9453BC654633A1BE</vt:lpwstr>
  </property>
  <property fmtid="{D5CDD505-2E9C-101B-9397-08002B2CF9AE}" pid="3" name="MediaServiceImageTags">
    <vt:lpwstr/>
  </property>
  <property fmtid="{D5CDD505-2E9C-101B-9397-08002B2CF9AE}" pid="4" name="ICV">
    <vt:lpwstr>B9F184B698104D25B87E18A1D4B4F41A_13</vt:lpwstr>
  </property>
  <property fmtid="{D5CDD505-2E9C-101B-9397-08002B2CF9AE}" pid="5" name="KSOProductBuildVer">
    <vt:lpwstr>2057-12.2.0.23131</vt:lpwstr>
  </property>
</Properties>
</file>